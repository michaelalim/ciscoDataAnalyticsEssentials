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oy\Desktop\CISCO Projects\3.4.6\"/>
    </mc:Choice>
  </mc:AlternateContent>
  <xr:revisionPtr revIDLastSave="0" documentId="13_ncr:1_{CAE571A3-DC9F-43A0-9C1D-0637B18FFC9F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Takeaways" sheetId="2" r:id="rId1"/>
    <sheet name="Bike Sales" sheetId="1" r:id="rId2"/>
  </sheets>
  <calcPr calcId="191028"/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3" i="1"/>
  <c r="K2" i="1"/>
  <c r="J3" i="1"/>
  <c r="J4" i="1"/>
  <c r="J5" i="1"/>
  <c r="J6" i="1"/>
  <c r="J7" i="1"/>
  <c r="J8" i="1"/>
  <c r="J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2" i="1"/>
</calcChain>
</file>

<file path=xl/sharedStrings.xml><?xml version="1.0" encoding="utf-8"?>
<sst xmlns="http://schemas.openxmlformats.org/spreadsheetml/2006/main" count="914" uniqueCount="162">
  <si>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</si>
  <si>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</si>
  <si>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</si>
  <si>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</si>
  <si>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</si>
  <si>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</si>
  <si>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</si>
  <si>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</si>
  <si>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</si>
  <si>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</si>
  <si>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</si>
  <si>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</si>
  <si>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</si>
  <si>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</si>
  <si>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</si>
  <si>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</si>
  <si>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</si>
  <si>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</si>
  <si>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</si>
  <si>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</si>
  <si>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</si>
  <si>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</si>
  <si>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</si>
  <si>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</si>
  <si>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</si>
  <si>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</si>
  <si>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</si>
  <si>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</si>
  <si>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</si>
  <si>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</si>
  <si>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</si>
  <si>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</si>
  <si>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</si>
  <si>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</si>
  <si>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</si>
  <si>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</si>
  <si>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</si>
  <si>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</si>
  <si>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</si>
  <si>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</si>
  <si>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</si>
  <si>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</si>
  <si>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</si>
  <si>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</si>
  <si>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</si>
  <si>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</si>
  <si>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</si>
  <si>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</si>
  <si>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</si>
  <si>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</si>
  <si>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</si>
  <si>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</si>
  <si>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</si>
  <si>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</si>
  <si>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</si>
  <si>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</si>
  <si>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</si>
  <si>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</si>
  <si>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</si>
  <si>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</si>
  <si>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</si>
  <si>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</si>
  <si>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</si>
  <si>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</si>
  <si>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</si>
  <si>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</si>
  <si>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</si>
  <si>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</si>
  <si>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</si>
  <si>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</si>
  <si>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</si>
  <si>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</si>
  <si>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</si>
  <si>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</si>
  <si>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</si>
  <si>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</si>
  <si>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</si>
  <si>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</si>
  <si>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</si>
  <si>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</si>
  <si>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</si>
  <si>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</si>
  <si>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</si>
  <si>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</si>
  <si>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</si>
  <si>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</si>
  <si>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</si>
  <si>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</si>
  <si>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</si>
  <si>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</si>
  <si>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</si>
  <si>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</si>
  <si>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</si>
  <si>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</si>
  <si>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</si>
  <si>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</si>
  <si>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</si>
  <si>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</si>
  <si>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</si>
  <si>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</si>
  <si>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</si>
  <si>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</si>
  <si>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</si>
  <si>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</si>
  <si>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</si>
  <si>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</si>
  <si>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</si>
  <si>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</si>
  <si>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</si>
  <si>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</si>
  <si>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</si>
  <si>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</si>
  <si>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</si>
  <si>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</si>
  <si>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</si>
  <si>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</si>
  <si>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</si>
  <si>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</si>
  <si>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</si>
  <si>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</si>
  <si>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</si>
  <si>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</si>
  <si>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</si>
  <si>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</si>
  <si>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</si>
  <si>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</si>
  <si>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</si>
  <si>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</si>
  <si>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</si>
  <si>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</si>
  <si>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</si>
  <si>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</si>
  <si>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</si>
  <si>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</si>
  <si>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</si>
  <si>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</si>
  <si>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</si>
  <si>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</si>
  <si>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</si>
  <si>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</si>
  <si>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</si>
  <si>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</si>
  <si>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</si>
  <si>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</si>
  <si>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Length</t>
  </si>
  <si>
    <t>TRIM</t>
  </si>
  <si>
    <t>Female</t>
  </si>
  <si>
    <t>Male</t>
  </si>
  <si>
    <t>To mark duplicate, use conditional formatting</t>
  </si>
  <si>
    <t>Duplicates</t>
  </si>
  <si>
    <t>Empty Cells</t>
  </si>
  <si>
    <t>Find -&gt; Go to special -&gt; Blank -&gt; Format -&gt; Highlight</t>
  </si>
  <si>
    <t>Data Parsing</t>
  </si>
  <si>
    <t>Data -&gt; Text to Columns -&gt; Select Delimiter -&gt; Apply</t>
  </si>
  <si>
    <t>Removing Extra Spaces</t>
  </si>
  <si>
    <t>=Trim(Cell) -&gt; Paste Values</t>
  </si>
  <si>
    <t>Changing Case</t>
  </si>
  <si>
    <t>=UPPER(), =LOWER(), =PROPER()</t>
  </si>
  <si>
    <t>Replace</t>
  </si>
  <si>
    <t>Find -&gt; Replace</t>
  </si>
  <si>
    <t>Spell Check</t>
  </si>
  <si>
    <t>Select all -&gt; Review -&gt; Spell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</si>
</sst>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  <xf numFmtId="0" fontId="19" fillId="33" borderId="0" xfId="0" applyFont="1" applyFill="1"/>
    <xf numFmtId="164" fontId="0" fillId="33" borderId="0" xfId="0" applyNumberFormat="1" applyFill="1"/>
    <xf numFmtId="0" fontId="20" fillId="0" borderId="0" xfId="0" applyFont="1" applyFill="1"/>
    <xf numFmtId="0" fontId="19" fillId="0" borderId="0" xfId="0" applyFont="1" applyFill="1"/>
    <xf numFmtId="0" fontId="0" fillId="0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8004-556D-41EE-8257-8DAA3C7D179D}">
  <dimension ref="A1:B7"/>
  <sheetViews>
    <sheetView tabSelected="1" workbookViewId="0">
      <selection activeCell="A8" sqref="A8"/>
    </sheetView>
  </sheetViews>
  <sheetFormatPr defaultRowHeight="15" x14ac:dyDescent="0.25"/>
  <cols>
    <col min="1" max="1" width="21.5703125" style="4" bestFit="1" customWidth="1"/>
    <col min="2" max="2" width="47.7109375" bestFit="1" customWidth="1"/>
  </cols>
  <sheetData>
    <row r="1" spans="1:2" x14ac:dyDescent="0.25">
      <c r="A1" s="4" t="s">
        <v>149</v>
      </c>
      <c r="B1" t="s">
        <v>148</v>
      </c>
    </row>
    <row r="2" spans="1:2" x14ac:dyDescent="0.25">
      <c r="A2" s="4" t="s">
        <v>150</v>
      </c>
      <c r="B2" t="s">
        <v>151</v>
      </c>
    </row>
    <row r="3" spans="1:2" x14ac:dyDescent="0.25">
      <c r="A3" s="4" t="s">
        <v>152</v>
      </c>
      <c r="B3" t="s">
        <v>153</v>
      </c>
    </row>
    <row r="4" spans="1:2" x14ac:dyDescent="0.25">
      <c r="A4" s="4" t="s">
        <v>154</v>
      </c>
      <c r="B4" s="13" t="s">
        <v>155</v>
      </c>
    </row>
    <row r="5" spans="1:2" x14ac:dyDescent="0.25">
      <c r="A5" s="4" t="s">
        <v>156</v>
      </c>
      <c r="B5" s="13" t="s">
        <v>157</v>
      </c>
    </row>
    <row r="6" spans="1:2" x14ac:dyDescent="0.25">
      <c r="A6" s="4" t="s">
        <v>158</v>
      </c>
      <c r="B6" t="s">
        <v>159</v>
      </c>
    </row>
    <row r="7" spans="1:2" x14ac:dyDescent="0.25">
      <c r="A7" s="4" t="s">
        <v>160</v>
      </c>
      <c r="B7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workbookViewId="0">
      <selection activeCell="J11" sqref="J11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14.140625" bestFit="1" customWidth="1"/>
    <col min="7" max="7" width="19.42578125" bestFit="1" customWidth="1"/>
    <col min="8" max="8" width="17.5703125" bestFit="1" customWidth="1"/>
    <col min="9" max="9" width="15.42578125" bestFit="1" customWidth="1"/>
    <col min="10" max="11" width="15.42578125" customWidth="1"/>
    <col min="12" max="12" width="20.28515625" bestFit="1" customWidth="1"/>
    <col min="13" max="13" width="16.85546875" bestFit="1" customWidth="1"/>
    <col min="14" max="14" width="14.85546875" bestFit="1" customWidth="1"/>
    <col min="15" max="15" width="16" bestFit="1" customWidth="1"/>
    <col min="16" max="16" width="6" bestFit="1" customWidth="1"/>
    <col min="17" max="17" width="4.5703125" style="12" bestFit="1" customWidth="1"/>
    <col min="18" max="18" width="15" bestFit="1" customWidth="1"/>
    <col min="19" max="19" width="10.5703125" bestFit="1" customWidth="1"/>
    <col min="20" max="20" width="11.140625" bestFit="1" customWidth="1"/>
    <col min="21" max="22" width="9.85546875" bestFit="1" customWidth="1"/>
    <col min="23" max="23" width="10.85546875" bestFit="1" customWidth="1"/>
  </cols>
  <sheetData>
    <row r="1" spans="1:23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144</v>
      </c>
      <c r="K1" s="4" t="s">
        <v>145</v>
      </c>
      <c r="L1" s="4" t="s">
        <v>9</v>
      </c>
      <c r="M1" s="4" t="s">
        <v>10</v>
      </c>
      <c r="N1" s="4" t="s">
        <v>11</v>
      </c>
      <c r="O1" s="6" t="s">
        <v>143</v>
      </c>
      <c r="P1" s="6" t="s">
        <v>142</v>
      </c>
      <c r="Q1" s="10" t="s">
        <v>135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</row>
    <row r="2" spans="1:23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146</v>
      </c>
      <c r="I2" t="s">
        <v>21</v>
      </c>
      <c r="J2">
        <f>LEN(I2)</f>
        <v>13</v>
      </c>
      <c r="K2" t="str">
        <f>TRIM(I2)</f>
        <v>United States</v>
      </c>
      <c r="L2" t="s">
        <v>22</v>
      </c>
      <c r="M2" t="s">
        <v>23</v>
      </c>
      <c r="N2" t="s">
        <v>24</v>
      </c>
      <c r="O2" s="5" t="s">
        <v>136</v>
      </c>
      <c r="P2" s="5" t="s">
        <v>137</v>
      </c>
      <c r="Q2" s="11">
        <v>46</v>
      </c>
      <c r="R2">
        <v>4</v>
      </c>
      <c r="S2" s="2">
        <v>1252</v>
      </c>
      <c r="T2" s="2">
        <v>2295</v>
      </c>
      <c r="U2" s="2">
        <v>4172</v>
      </c>
      <c r="V2" s="2">
        <f>R2*S2</f>
        <v>5008</v>
      </c>
      <c r="W2" s="2">
        <f>R2*T2</f>
        <v>9180</v>
      </c>
    </row>
    <row r="3" spans="1:23" x14ac:dyDescent="0.25">
      <c r="A3" s="3" t="s">
        <v>134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147</v>
      </c>
      <c r="I3" t="s">
        <v>25</v>
      </c>
      <c r="J3">
        <f t="shared" ref="J3:J8" si="0">LEN(I3)</f>
        <v>14</v>
      </c>
      <c r="K3" t="str">
        <f t="shared" ref="K3:K8" si="1">TRIM(I3)</f>
        <v>United Kingdom</v>
      </c>
      <c r="L3" t="s">
        <v>26</v>
      </c>
      <c r="M3" t="s">
        <v>23</v>
      </c>
      <c r="N3" t="s">
        <v>24</v>
      </c>
      <c r="O3" s="5" t="s">
        <v>136</v>
      </c>
      <c r="P3" s="5" t="s">
        <v>138</v>
      </c>
      <c r="Q3" s="11">
        <v>42</v>
      </c>
      <c r="R3">
        <v>1</v>
      </c>
      <c r="S3" s="2">
        <v>1266</v>
      </c>
      <c r="T3" s="2">
        <v>2320</v>
      </c>
      <c r="U3" s="2">
        <v>1054</v>
      </c>
      <c r="V3" s="2">
        <f t="shared" ref="V3:V66" si="2">R3*S3</f>
        <v>1266</v>
      </c>
      <c r="W3" s="2">
        <f t="shared" ref="W3:W66" si="3">R3*T3</f>
        <v>2320</v>
      </c>
    </row>
    <row r="4" spans="1:23" x14ac:dyDescent="0.25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147</v>
      </c>
      <c r="I4" t="s">
        <v>21</v>
      </c>
      <c r="J4">
        <f t="shared" si="0"/>
        <v>13</v>
      </c>
      <c r="K4" t="str">
        <f t="shared" si="1"/>
        <v>United States</v>
      </c>
      <c r="L4" t="s">
        <v>22</v>
      </c>
      <c r="M4" t="s">
        <v>23</v>
      </c>
      <c r="N4" t="s">
        <v>24</v>
      </c>
      <c r="O4" s="5" t="s">
        <v>139</v>
      </c>
      <c r="P4" s="5" t="s">
        <v>138</v>
      </c>
      <c r="Q4" s="11">
        <v>46</v>
      </c>
      <c r="R4">
        <v>2</v>
      </c>
      <c r="S4" s="2">
        <v>420</v>
      </c>
      <c r="T4" s="2">
        <v>769</v>
      </c>
      <c r="U4" s="2">
        <v>698</v>
      </c>
      <c r="V4" s="2">
        <f t="shared" si="2"/>
        <v>840</v>
      </c>
      <c r="W4" s="2">
        <f t="shared" si="3"/>
        <v>1538</v>
      </c>
    </row>
    <row r="5" spans="1:23" x14ac:dyDescent="0.25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146</v>
      </c>
      <c r="I5" t="s">
        <v>30</v>
      </c>
      <c r="J5">
        <f t="shared" si="0"/>
        <v>9</v>
      </c>
      <c r="K5" t="str">
        <f t="shared" si="1"/>
        <v>Australia</v>
      </c>
      <c r="L5" t="s">
        <v>31</v>
      </c>
      <c r="M5" t="s">
        <v>23</v>
      </c>
      <c r="N5" t="s">
        <v>24</v>
      </c>
      <c r="O5" s="5" t="s">
        <v>139</v>
      </c>
      <c r="P5" s="5" t="s">
        <v>138</v>
      </c>
      <c r="Q5" s="11">
        <v>42</v>
      </c>
      <c r="R5">
        <v>1</v>
      </c>
      <c r="S5" s="2">
        <v>420</v>
      </c>
      <c r="T5" s="2">
        <v>769</v>
      </c>
      <c r="U5" s="2">
        <v>349</v>
      </c>
      <c r="V5" s="2">
        <f t="shared" si="2"/>
        <v>420</v>
      </c>
      <c r="W5" s="2">
        <f t="shared" si="3"/>
        <v>769</v>
      </c>
    </row>
    <row r="6" spans="1:23" x14ac:dyDescent="0.25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146</v>
      </c>
      <c r="I6" t="s">
        <v>21</v>
      </c>
      <c r="J6">
        <f t="shared" si="0"/>
        <v>13</v>
      </c>
      <c r="K6" t="str">
        <f t="shared" si="1"/>
        <v>United States</v>
      </c>
      <c r="L6" t="s">
        <v>22</v>
      </c>
      <c r="M6" t="s">
        <v>23</v>
      </c>
      <c r="N6" t="s">
        <v>24</v>
      </c>
      <c r="O6" s="5" t="s">
        <v>136</v>
      </c>
      <c r="P6" s="5" t="s">
        <v>137</v>
      </c>
      <c r="Q6" s="11">
        <v>46</v>
      </c>
      <c r="R6">
        <v>2</v>
      </c>
      <c r="S6" s="9">
        <v>0</v>
      </c>
      <c r="T6" s="2">
        <v>2295</v>
      </c>
      <c r="U6" s="2">
        <v>2086</v>
      </c>
      <c r="V6" s="9">
        <f t="shared" si="2"/>
        <v>0</v>
      </c>
      <c r="W6" s="2">
        <f t="shared" si="3"/>
        <v>4590</v>
      </c>
    </row>
    <row r="7" spans="1:23" x14ac:dyDescent="0.25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146</v>
      </c>
      <c r="I7" t="s">
        <v>25</v>
      </c>
      <c r="J7">
        <f t="shared" si="0"/>
        <v>14</v>
      </c>
      <c r="K7" t="str">
        <f t="shared" si="1"/>
        <v>United Kingdom</v>
      </c>
      <c r="L7" t="s">
        <v>26</v>
      </c>
      <c r="M7" t="s">
        <v>23</v>
      </c>
      <c r="N7" t="s">
        <v>24</v>
      </c>
      <c r="O7" s="5" t="s">
        <v>136</v>
      </c>
      <c r="P7" s="5" t="s">
        <v>137</v>
      </c>
      <c r="Q7" s="11">
        <v>38</v>
      </c>
      <c r="R7">
        <v>1</v>
      </c>
      <c r="S7" s="2">
        <v>1252</v>
      </c>
      <c r="T7" s="2">
        <v>2295</v>
      </c>
      <c r="U7" s="2">
        <v>1043</v>
      </c>
      <c r="V7" s="2">
        <f t="shared" si="2"/>
        <v>1252</v>
      </c>
      <c r="W7" s="2">
        <f t="shared" si="3"/>
        <v>2295</v>
      </c>
    </row>
    <row r="8" spans="1:23" x14ac:dyDescent="0.25">
      <c r="A8" s="3" t="s">
        <v>35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147</v>
      </c>
      <c r="I8" t="s">
        <v>21</v>
      </c>
      <c r="J8">
        <f t="shared" si="0"/>
        <v>13</v>
      </c>
      <c r="K8" t="str">
        <f t="shared" si="1"/>
        <v>United States</v>
      </c>
      <c r="L8" t="s">
        <v>36</v>
      </c>
      <c r="M8" t="s">
        <v>23</v>
      </c>
      <c r="N8" t="s">
        <v>24</v>
      </c>
      <c r="O8" s="5" t="s">
        <v>136</v>
      </c>
      <c r="P8" s="5" t="s">
        <v>137</v>
      </c>
      <c r="Q8" s="11">
        <v>46</v>
      </c>
      <c r="R8">
        <v>1</v>
      </c>
      <c r="S8" s="2">
        <v>1252</v>
      </c>
      <c r="T8" s="2">
        <v>2295</v>
      </c>
      <c r="U8" s="2">
        <v>1043</v>
      </c>
      <c r="V8" s="2">
        <f t="shared" si="2"/>
        <v>1252</v>
      </c>
      <c r="W8" s="2">
        <f t="shared" si="3"/>
        <v>2295</v>
      </c>
    </row>
    <row r="9" spans="1:23" x14ac:dyDescent="0.25">
      <c r="A9" s="3" t="s">
        <v>37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146</v>
      </c>
      <c r="I9" t="s">
        <v>30</v>
      </c>
      <c r="L9" t="s">
        <v>31</v>
      </c>
      <c r="M9" t="s">
        <v>23</v>
      </c>
      <c r="N9" t="s">
        <v>24</v>
      </c>
      <c r="O9" s="5" t="s">
        <v>139</v>
      </c>
      <c r="P9" s="5" t="s">
        <v>138</v>
      </c>
      <c r="Q9" s="11">
        <v>42</v>
      </c>
      <c r="R9">
        <v>4</v>
      </c>
      <c r="S9" s="2">
        <v>420</v>
      </c>
      <c r="T9" s="9">
        <v>0</v>
      </c>
      <c r="U9" s="2">
        <v>1396</v>
      </c>
      <c r="V9" s="2">
        <f t="shared" si="2"/>
        <v>1680</v>
      </c>
      <c r="W9" s="9">
        <f t="shared" si="3"/>
        <v>0</v>
      </c>
    </row>
    <row r="10" spans="1:23" x14ac:dyDescent="0.25">
      <c r="A10" s="3" t="s">
        <v>38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146</v>
      </c>
      <c r="I10" t="s">
        <v>21</v>
      </c>
      <c r="L10" t="s">
        <v>22</v>
      </c>
      <c r="M10" t="s">
        <v>23</v>
      </c>
      <c r="N10" t="s">
        <v>24</v>
      </c>
      <c r="O10" s="5" t="s">
        <v>136</v>
      </c>
      <c r="P10" s="5" t="s">
        <v>137</v>
      </c>
      <c r="Q10" s="11">
        <v>46</v>
      </c>
      <c r="R10">
        <v>4</v>
      </c>
      <c r="S10" s="2">
        <v>1252</v>
      </c>
      <c r="T10" s="2">
        <v>2295</v>
      </c>
      <c r="U10" s="2">
        <v>4172</v>
      </c>
      <c r="V10" s="2">
        <f t="shared" si="2"/>
        <v>5008</v>
      </c>
      <c r="W10" s="2">
        <f t="shared" si="3"/>
        <v>9180</v>
      </c>
    </row>
    <row r="11" spans="1:23" x14ac:dyDescent="0.25">
      <c r="A11" s="3" t="s">
        <v>39</v>
      </c>
      <c r="B11" s="1">
        <v>44535</v>
      </c>
      <c r="C11" s="7"/>
      <c r="D11" t="s">
        <v>19</v>
      </c>
      <c r="E11">
        <v>2021</v>
      </c>
      <c r="F11">
        <v>42</v>
      </c>
      <c r="G11" t="s">
        <v>20</v>
      </c>
      <c r="H11" t="s">
        <v>147</v>
      </c>
      <c r="I11" t="s">
        <v>40</v>
      </c>
      <c r="L11" t="s">
        <v>41</v>
      </c>
      <c r="M11" t="s">
        <v>23</v>
      </c>
      <c r="N11" t="s">
        <v>24</v>
      </c>
      <c r="O11" s="5" t="s">
        <v>136</v>
      </c>
      <c r="P11" s="5" t="s">
        <v>137</v>
      </c>
      <c r="Q11" s="11">
        <v>38</v>
      </c>
      <c r="R11">
        <v>4</v>
      </c>
      <c r="S11" s="2">
        <v>1252</v>
      </c>
      <c r="T11" s="2">
        <v>2295</v>
      </c>
      <c r="U11" s="2">
        <v>4172</v>
      </c>
      <c r="V11" s="2">
        <f t="shared" si="2"/>
        <v>5008</v>
      </c>
      <c r="W11" s="2">
        <f t="shared" si="3"/>
        <v>9180</v>
      </c>
    </row>
    <row r="12" spans="1:23" x14ac:dyDescent="0.25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146</v>
      </c>
      <c r="I12" t="s">
        <v>30</v>
      </c>
      <c r="L12" t="s">
        <v>43</v>
      </c>
      <c r="M12" t="s">
        <v>23</v>
      </c>
      <c r="N12" t="s">
        <v>24</v>
      </c>
      <c r="O12" s="5" t="s">
        <v>136</v>
      </c>
      <c r="P12" s="5" t="s">
        <v>138</v>
      </c>
      <c r="Q12" s="11">
        <v>38</v>
      </c>
      <c r="R12">
        <v>1</v>
      </c>
      <c r="S12" s="2">
        <v>1266</v>
      </c>
      <c r="T12" s="2">
        <v>2320</v>
      </c>
      <c r="U12" s="2">
        <v>1054</v>
      </c>
      <c r="V12" s="2">
        <f t="shared" si="2"/>
        <v>1266</v>
      </c>
      <c r="W12" s="2">
        <f t="shared" si="3"/>
        <v>2320</v>
      </c>
    </row>
    <row r="13" spans="1:23" x14ac:dyDescent="0.25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146</v>
      </c>
      <c r="I13" t="s">
        <v>21</v>
      </c>
      <c r="L13" t="s">
        <v>22</v>
      </c>
      <c r="M13" t="s">
        <v>23</v>
      </c>
      <c r="N13" t="s">
        <v>24</v>
      </c>
      <c r="O13" s="5" t="s">
        <v>136</v>
      </c>
      <c r="P13" s="5" t="s">
        <v>137</v>
      </c>
      <c r="Q13" s="11">
        <v>46</v>
      </c>
      <c r="R13">
        <v>1</v>
      </c>
      <c r="S13" s="2">
        <v>1252</v>
      </c>
      <c r="T13" s="2">
        <v>2295</v>
      </c>
      <c r="U13" s="2">
        <v>1043</v>
      </c>
      <c r="V13" s="2">
        <f t="shared" si="2"/>
        <v>1252</v>
      </c>
      <c r="W13" s="2">
        <f t="shared" si="3"/>
        <v>2295</v>
      </c>
    </row>
    <row r="14" spans="1:23" x14ac:dyDescent="0.25">
      <c r="A14" s="3" t="s">
        <v>45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147</v>
      </c>
      <c r="I14" t="s">
        <v>25</v>
      </c>
      <c r="L14" t="s">
        <v>26</v>
      </c>
      <c r="M14" t="s">
        <v>23</v>
      </c>
      <c r="N14" t="s">
        <v>24</v>
      </c>
      <c r="O14" s="5" t="s">
        <v>139</v>
      </c>
      <c r="P14" s="5" t="s">
        <v>138</v>
      </c>
      <c r="Q14" s="11">
        <v>46</v>
      </c>
      <c r="R14">
        <v>3</v>
      </c>
      <c r="S14" s="2">
        <v>420</v>
      </c>
      <c r="T14" s="2">
        <v>769</v>
      </c>
      <c r="U14" s="2">
        <v>1047</v>
      </c>
      <c r="V14" s="2">
        <f t="shared" si="2"/>
        <v>1260</v>
      </c>
      <c r="W14" s="2">
        <f t="shared" si="3"/>
        <v>2307</v>
      </c>
    </row>
    <row r="15" spans="1:23" x14ac:dyDescent="0.25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147</v>
      </c>
      <c r="I15" t="s">
        <v>47</v>
      </c>
      <c r="L15" t="s">
        <v>48</v>
      </c>
      <c r="M15" t="s">
        <v>23</v>
      </c>
      <c r="N15" t="s">
        <v>24</v>
      </c>
      <c r="O15" s="5" t="s">
        <v>136</v>
      </c>
      <c r="P15" s="5" t="s">
        <v>137</v>
      </c>
      <c r="Q15" s="11">
        <v>46</v>
      </c>
      <c r="R15">
        <v>1</v>
      </c>
      <c r="S15" s="2">
        <v>1252</v>
      </c>
      <c r="T15" s="2">
        <v>2295</v>
      </c>
      <c r="U15" s="2">
        <v>1043</v>
      </c>
      <c r="V15" s="2">
        <f t="shared" si="2"/>
        <v>1252</v>
      </c>
      <c r="W15" s="2">
        <f t="shared" si="3"/>
        <v>2295</v>
      </c>
    </row>
    <row r="16" spans="1:23" x14ac:dyDescent="0.25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H16" t="s">
        <v>147</v>
      </c>
      <c r="I16" t="s">
        <v>30</v>
      </c>
      <c r="L16" t="s">
        <v>31</v>
      </c>
      <c r="M16" t="s">
        <v>23</v>
      </c>
      <c r="N16" t="s">
        <v>24</v>
      </c>
      <c r="O16" s="5" t="s">
        <v>136</v>
      </c>
      <c r="P16" s="5" t="s">
        <v>137</v>
      </c>
      <c r="Q16" s="11">
        <v>42</v>
      </c>
      <c r="R16">
        <v>1</v>
      </c>
      <c r="S16" s="2">
        <v>1252</v>
      </c>
      <c r="T16" s="2">
        <v>2295</v>
      </c>
      <c r="U16" s="2">
        <v>1043</v>
      </c>
      <c r="V16" s="2">
        <f t="shared" si="2"/>
        <v>1252</v>
      </c>
      <c r="W16" s="2">
        <f t="shared" si="3"/>
        <v>2295</v>
      </c>
    </row>
    <row r="17" spans="1:23" x14ac:dyDescent="0.25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147</v>
      </c>
      <c r="I17" t="s">
        <v>25</v>
      </c>
      <c r="L17" t="s">
        <v>26</v>
      </c>
      <c r="M17" t="s">
        <v>23</v>
      </c>
      <c r="N17" t="s">
        <v>24</v>
      </c>
      <c r="O17" s="5" t="s">
        <v>136</v>
      </c>
      <c r="P17" s="5" t="s">
        <v>138</v>
      </c>
      <c r="Q17" s="11">
        <v>38</v>
      </c>
      <c r="R17">
        <v>1</v>
      </c>
      <c r="S17" s="2">
        <v>1266</v>
      </c>
      <c r="T17" s="2">
        <v>2320</v>
      </c>
      <c r="U17" s="2">
        <v>1054</v>
      </c>
      <c r="V17" s="2">
        <f t="shared" si="2"/>
        <v>1266</v>
      </c>
      <c r="W17" s="2">
        <f t="shared" si="3"/>
        <v>2320</v>
      </c>
    </row>
    <row r="18" spans="1:23" x14ac:dyDescent="0.25">
      <c r="A18" s="3" t="s">
        <v>51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147</v>
      </c>
      <c r="I18" t="s">
        <v>21</v>
      </c>
      <c r="L18" t="s">
        <v>22</v>
      </c>
      <c r="M18" t="s">
        <v>23</v>
      </c>
      <c r="N18" t="s">
        <v>24</v>
      </c>
      <c r="O18" s="5" t="s">
        <v>139</v>
      </c>
      <c r="P18" s="5" t="s">
        <v>138</v>
      </c>
      <c r="Q18" s="11">
        <v>38</v>
      </c>
      <c r="R18">
        <v>4</v>
      </c>
      <c r="S18" s="2">
        <v>420</v>
      </c>
      <c r="T18" s="2">
        <v>769</v>
      </c>
      <c r="U18" s="2">
        <v>1396</v>
      </c>
      <c r="V18" s="2">
        <f t="shared" si="2"/>
        <v>1680</v>
      </c>
      <c r="W18" s="2">
        <f t="shared" si="3"/>
        <v>3076</v>
      </c>
    </row>
    <row r="19" spans="1:23" x14ac:dyDescent="0.25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147</v>
      </c>
      <c r="I19" t="s">
        <v>21</v>
      </c>
      <c r="L19" t="s">
        <v>22</v>
      </c>
      <c r="M19" t="s">
        <v>23</v>
      </c>
      <c r="N19" t="s">
        <v>24</v>
      </c>
      <c r="O19" s="5" t="s">
        <v>136</v>
      </c>
      <c r="P19" s="5" t="s">
        <v>138</v>
      </c>
      <c r="Q19" s="11">
        <v>42</v>
      </c>
      <c r="R19">
        <v>2</v>
      </c>
      <c r="S19" s="2">
        <v>1266</v>
      </c>
      <c r="T19" s="2">
        <v>2320</v>
      </c>
      <c r="U19" s="2">
        <v>2108</v>
      </c>
      <c r="V19" s="2">
        <f t="shared" si="2"/>
        <v>2532</v>
      </c>
      <c r="W19" s="2">
        <f t="shared" si="3"/>
        <v>4640</v>
      </c>
    </row>
    <row r="20" spans="1:23" x14ac:dyDescent="0.25">
      <c r="A20" s="3" t="s">
        <v>53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146</v>
      </c>
      <c r="I20" t="s">
        <v>30</v>
      </c>
      <c r="L20" t="s">
        <v>31</v>
      </c>
      <c r="M20" t="s">
        <v>23</v>
      </c>
      <c r="N20" t="s">
        <v>24</v>
      </c>
      <c r="O20" s="5" t="s">
        <v>140</v>
      </c>
      <c r="P20" s="5" t="s">
        <v>138</v>
      </c>
      <c r="Q20" s="11">
        <v>42</v>
      </c>
      <c r="R20">
        <v>4</v>
      </c>
      <c r="S20" s="2">
        <v>308</v>
      </c>
      <c r="T20" s="2">
        <v>565</v>
      </c>
      <c r="U20" s="2">
        <v>1028</v>
      </c>
      <c r="V20" s="2">
        <f t="shared" si="2"/>
        <v>1232</v>
      </c>
      <c r="W20" s="2">
        <f t="shared" si="3"/>
        <v>2260</v>
      </c>
    </row>
    <row r="21" spans="1:23" x14ac:dyDescent="0.25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146</v>
      </c>
      <c r="I21" t="s">
        <v>47</v>
      </c>
      <c r="L21" t="s">
        <v>48</v>
      </c>
      <c r="M21" t="s">
        <v>23</v>
      </c>
      <c r="N21" t="s">
        <v>24</v>
      </c>
      <c r="O21" s="5" t="s">
        <v>136</v>
      </c>
      <c r="P21" s="5" t="s">
        <v>138</v>
      </c>
      <c r="Q21" s="11">
        <v>38</v>
      </c>
      <c r="R21">
        <v>4</v>
      </c>
      <c r="S21" s="2">
        <v>1266</v>
      </c>
      <c r="T21" s="2">
        <v>2320</v>
      </c>
      <c r="U21" s="2">
        <v>4216</v>
      </c>
      <c r="V21" s="2">
        <f t="shared" si="2"/>
        <v>5064</v>
      </c>
      <c r="W21" s="2">
        <f t="shared" si="3"/>
        <v>9280</v>
      </c>
    </row>
    <row r="22" spans="1:23" x14ac:dyDescent="0.25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146</v>
      </c>
      <c r="I22" t="s">
        <v>21</v>
      </c>
      <c r="L22" t="s">
        <v>56</v>
      </c>
      <c r="M22" t="s">
        <v>23</v>
      </c>
      <c r="N22" t="s">
        <v>24</v>
      </c>
      <c r="O22" s="8"/>
      <c r="P22" s="8"/>
      <c r="Q22" s="8"/>
      <c r="R22">
        <v>2</v>
      </c>
      <c r="S22" s="2">
        <v>1252</v>
      </c>
      <c r="T22" s="2">
        <v>2295</v>
      </c>
      <c r="U22" s="2">
        <v>2086</v>
      </c>
      <c r="V22" s="2">
        <f t="shared" si="2"/>
        <v>2504</v>
      </c>
      <c r="W22" s="2">
        <f t="shared" si="3"/>
        <v>4590</v>
      </c>
    </row>
    <row r="23" spans="1:23" x14ac:dyDescent="0.25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146</v>
      </c>
      <c r="I23" t="s">
        <v>21</v>
      </c>
      <c r="L23" t="s">
        <v>22</v>
      </c>
      <c r="M23" t="s">
        <v>23</v>
      </c>
      <c r="N23" t="s">
        <v>24</v>
      </c>
      <c r="O23" s="5" t="s">
        <v>140</v>
      </c>
      <c r="P23" s="5" t="s">
        <v>137</v>
      </c>
      <c r="Q23" s="11">
        <v>42</v>
      </c>
      <c r="R23" s="7"/>
      <c r="S23" s="2">
        <v>295</v>
      </c>
      <c r="T23" s="2">
        <v>540</v>
      </c>
      <c r="U23" s="2">
        <v>245</v>
      </c>
      <c r="V23" s="2">
        <f t="shared" si="2"/>
        <v>0</v>
      </c>
      <c r="W23" s="2">
        <f t="shared" si="3"/>
        <v>0</v>
      </c>
    </row>
    <row r="24" spans="1:23" x14ac:dyDescent="0.25">
      <c r="A24" s="3" t="s">
        <v>58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146</v>
      </c>
      <c r="I24" t="s">
        <v>30</v>
      </c>
      <c r="L24" t="s">
        <v>59</v>
      </c>
      <c r="M24" t="s">
        <v>23</v>
      </c>
      <c r="N24" t="s">
        <v>24</v>
      </c>
      <c r="O24" s="5" t="s">
        <v>141</v>
      </c>
      <c r="P24" s="5" t="s">
        <v>137</v>
      </c>
      <c r="Q24" s="11">
        <v>38</v>
      </c>
      <c r="R24">
        <v>2</v>
      </c>
      <c r="S24" s="2">
        <v>1898</v>
      </c>
      <c r="T24" s="2">
        <v>3375</v>
      </c>
      <c r="U24" s="2">
        <v>2954</v>
      </c>
      <c r="V24" s="2">
        <f t="shared" si="2"/>
        <v>3796</v>
      </c>
      <c r="W24" s="2">
        <f t="shared" si="3"/>
        <v>6750</v>
      </c>
    </row>
    <row r="25" spans="1:23" x14ac:dyDescent="0.25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146</v>
      </c>
      <c r="I25" t="s">
        <v>40</v>
      </c>
      <c r="L25" t="s">
        <v>61</v>
      </c>
      <c r="M25" t="s">
        <v>23</v>
      </c>
      <c r="N25" t="s">
        <v>24</v>
      </c>
      <c r="O25" s="5" t="s">
        <v>136</v>
      </c>
      <c r="P25" s="5" t="s">
        <v>138</v>
      </c>
      <c r="Q25" s="11">
        <v>42</v>
      </c>
      <c r="R25">
        <v>1</v>
      </c>
      <c r="S25" s="2">
        <v>1266</v>
      </c>
      <c r="T25" s="2">
        <v>2320</v>
      </c>
      <c r="U25" s="2">
        <v>1054</v>
      </c>
      <c r="V25" s="2">
        <f t="shared" si="2"/>
        <v>1266</v>
      </c>
      <c r="W25" s="2">
        <f t="shared" si="3"/>
        <v>2320</v>
      </c>
    </row>
    <row r="26" spans="1:23" x14ac:dyDescent="0.25">
      <c r="A26" s="3" t="s">
        <v>62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146</v>
      </c>
      <c r="I26" t="s">
        <v>21</v>
      </c>
      <c r="L26" t="s">
        <v>22</v>
      </c>
      <c r="M26" t="s">
        <v>23</v>
      </c>
      <c r="N26" t="s">
        <v>24</v>
      </c>
      <c r="O26" s="5" t="s">
        <v>136</v>
      </c>
      <c r="P26" s="5" t="s">
        <v>137</v>
      </c>
      <c r="Q26" s="11">
        <v>42</v>
      </c>
      <c r="R26">
        <v>2</v>
      </c>
      <c r="S26" s="2">
        <v>1252</v>
      </c>
      <c r="T26" s="2">
        <v>2295</v>
      </c>
      <c r="U26" s="2">
        <v>2086</v>
      </c>
      <c r="V26" s="2">
        <f t="shared" si="2"/>
        <v>2504</v>
      </c>
      <c r="W26" s="2">
        <f t="shared" si="3"/>
        <v>4590</v>
      </c>
    </row>
    <row r="27" spans="1:23" x14ac:dyDescent="0.25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147</v>
      </c>
      <c r="I27" t="s">
        <v>30</v>
      </c>
      <c r="L27" t="s">
        <v>31</v>
      </c>
      <c r="M27" t="s">
        <v>23</v>
      </c>
      <c r="N27" t="s">
        <v>24</v>
      </c>
      <c r="O27" s="5" t="s">
        <v>136</v>
      </c>
      <c r="P27" s="5" t="s">
        <v>137</v>
      </c>
      <c r="Q27" s="11">
        <v>42</v>
      </c>
      <c r="R27">
        <v>2</v>
      </c>
      <c r="S27" s="2">
        <v>1252</v>
      </c>
      <c r="T27" s="2">
        <v>2295</v>
      </c>
      <c r="U27" s="2">
        <v>2086</v>
      </c>
      <c r="V27" s="2">
        <f t="shared" si="2"/>
        <v>2504</v>
      </c>
      <c r="W27" s="2">
        <f t="shared" si="3"/>
        <v>4590</v>
      </c>
    </row>
    <row r="28" spans="1:23" x14ac:dyDescent="0.25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147</v>
      </c>
      <c r="I28" t="s">
        <v>25</v>
      </c>
      <c r="L28" t="s">
        <v>26</v>
      </c>
      <c r="M28" t="s">
        <v>23</v>
      </c>
      <c r="N28" t="s">
        <v>24</v>
      </c>
      <c r="O28" s="5" t="s">
        <v>136</v>
      </c>
      <c r="P28" s="5" t="s">
        <v>137</v>
      </c>
      <c r="Q28" s="11">
        <v>38</v>
      </c>
      <c r="R28">
        <v>1</v>
      </c>
      <c r="S28" s="2">
        <v>1252</v>
      </c>
      <c r="T28" s="2">
        <v>2295</v>
      </c>
      <c r="U28" s="2">
        <v>1043</v>
      </c>
      <c r="V28" s="2">
        <f t="shared" si="2"/>
        <v>1252</v>
      </c>
      <c r="W28" s="2">
        <f t="shared" si="3"/>
        <v>2295</v>
      </c>
    </row>
    <row r="29" spans="1:23" x14ac:dyDescent="0.25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147</v>
      </c>
      <c r="I29" t="s">
        <v>21</v>
      </c>
      <c r="L29" t="s">
        <v>22</v>
      </c>
      <c r="M29" t="s">
        <v>23</v>
      </c>
      <c r="N29" t="s">
        <v>24</v>
      </c>
      <c r="O29" s="5" t="s">
        <v>140</v>
      </c>
      <c r="P29" s="5" t="s">
        <v>137</v>
      </c>
      <c r="Q29" s="11">
        <v>40</v>
      </c>
      <c r="R29">
        <v>1</v>
      </c>
      <c r="S29" s="2">
        <v>295</v>
      </c>
      <c r="T29" s="2">
        <v>540</v>
      </c>
      <c r="U29" s="2">
        <v>245</v>
      </c>
      <c r="V29" s="2">
        <f t="shared" si="2"/>
        <v>295</v>
      </c>
      <c r="W29" s="2">
        <f t="shared" si="3"/>
        <v>540</v>
      </c>
    </row>
    <row r="30" spans="1:23" x14ac:dyDescent="0.25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146</v>
      </c>
      <c r="I30" t="s">
        <v>21</v>
      </c>
      <c r="L30" t="s">
        <v>36</v>
      </c>
      <c r="M30" t="s">
        <v>23</v>
      </c>
      <c r="N30" t="s">
        <v>24</v>
      </c>
      <c r="O30" s="5" t="s">
        <v>141</v>
      </c>
      <c r="P30" s="5" t="s">
        <v>138</v>
      </c>
      <c r="Q30" s="11">
        <v>44</v>
      </c>
      <c r="R30">
        <v>1</v>
      </c>
      <c r="S30" s="2">
        <v>1912</v>
      </c>
      <c r="T30" s="2">
        <v>3400</v>
      </c>
      <c r="U30" s="2">
        <v>1488</v>
      </c>
      <c r="V30" s="2">
        <f t="shared" si="2"/>
        <v>1912</v>
      </c>
      <c r="W30" s="2">
        <f t="shared" si="3"/>
        <v>3400</v>
      </c>
    </row>
    <row r="31" spans="1:23" x14ac:dyDescent="0.25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147</v>
      </c>
      <c r="I31" t="s">
        <v>30</v>
      </c>
      <c r="L31" t="s">
        <v>31</v>
      </c>
      <c r="M31" t="s">
        <v>23</v>
      </c>
      <c r="N31" t="s">
        <v>24</v>
      </c>
      <c r="O31" s="5" t="s">
        <v>136</v>
      </c>
      <c r="P31" s="5" t="s">
        <v>137</v>
      </c>
      <c r="Q31" s="11">
        <v>38</v>
      </c>
      <c r="R31">
        <v>1</v>
      </c>
      <c r="S31" s="2">
        <v>1252</v>
      </c>
      <c r="T31" s="2">
        <v>2295</v>
      </c>
      <c r="U31" s="2">
        <v>1043</v>
      </c>
      <c r="V31" s="2">
        <f t="shared" si="2"/>
        <v>1252</v>
      </c>
      <c r="W31" s="2">
        <f t="shared" si="3"/>
        <v>2295</v>
      </c>
    </row>
    <row r="32" spans="1:23" x14ac:dyDescent="0.25">
      <c r="A32" s="3" t="s">
        <v>68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146</v>
      </c>
      <c r="I32" t="s">
        <v>69</v>
      </c>
      <c r="L32" t="s">
        <v>70</v>
      </c>
      <c r="M32" t="s">
        <v>23</v>
      </c>
      <c r="N32" t="s">
        <v>24</v>
      </c>
      <c r="O32" s="5" t="s">
        <v>136</v>
      </c>
      <c r="P32" s="5" t="s">
        <v>137</v>
      </c>
      <c r="Q32" s="11">
        <v>38</v>
      </c>
      <c r="R32">
        <v>3</v>
      </c>
      <c r="S32" s="2">
        <v>1252</v>
      </c>
      <c r="T32" s="2">
        <v>2295</v>
      </c>
      <c r="U32" s="2">
        <v>3129</v>
      </c>
      <c r="V32" s="2">
        <f t="shared" si="2"/>
        <v>3756</v>
      </c>
      <c r="W32" s="2">
        <f t="shared" si="3"/>
        <v>6885</v>
      </c>
    </row>
    <row r="33" spans="1:23" x14ac:dyDescent="0.25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146</v>
      </c>
      <c r="I33" t="s">
        <v>30</v>
      </c>
      <c r="L33" t="s">
        <v>31</v>
      </c>
      <c r="M33" t="s">
        <v>23</v>
      </c>
      <c r="N33" t="s">
        <v>24</v>
      </c>
      <c r="O33" s="5" t="s">
        <v>139</v>
      </c>
      <c r="P33" s="5" t="s">
        <v>138</v>
      </c>
      <c r="Q33" s="11">
        <v>38</v>
      </c>
      <c r="R33">
        <v>2</v>
      </c>
      <c r="S33" s="2">
        <v>420</v>
      </c>
      <c r="T33" s="2">
        <v>769</v>
      </c>
      <c r="U33" s="2">
        <v>698</v>
      </c>
      <c r="V33" s="2">
        <f t="shared" si="2"/>
        <v>840</v>
      </c>
      <c r="W33" s="2">
        <f t="shared" si="3"/>
        <v>1538</v>
      </c>
    </row>
    <row r="34" spans="1:23" x14ac:dyDescent="0.25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147</v>
      </c>
      <c r="I34" t="s">
        <v>47</v>
      </c>
      <c r="L34" t="s">
        <v>48</v>
      </c>
      <c r="M34" t="s">
        <v>23</v>
      </c>
      <c r="N34" t="s">
        <v>24</v>
      </c>
      <c r="O34" s="5" t="s">
        <v>136</v>
      </c>
      <c r="P34" s="5" t="s">
        <v>137</v>
      </c>
      <c r="Q34" s="11">
        <v>46</v>
      </c>
      <c r="R34">
        <v>1</v>
      </c>
      <c r="S34" s="2">
        <v>1252</v>
      </c>
      <c r="T34" s="2">
        <v>2295</v>
      </c>
      <c r="U34" s="2">
        <v>1043</v>
      </c>
      <c r="V34" s="2">
        <f t="shared" si="2"/>
        <v>1252</v>
      </c>
      <c r="W34" s="2">
        <f t="shared" si="3"/>
        <v>2295</v>
      </c>
    </row>
    <row r="35" spans="1:23" x14ac:dyDescent="0.25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147</v>
      </c>
      <c r="I35" t="s">
        <v>21</v>
      </c>
      <c r="L35" t="s">
        <v>22</v>
      </c>
      <c r="M35" t="s">
        <v>23</v>
      </c>
      <c r="N35" t="s">
        <v>24</v>
      </c>
      <c r="O35" s="5" t="s">
        <v>139</v>
      </c>
      <c r="P35" s="5" t="s">
        <v>138</v>
      </c>
      <c r="Q35" s="11">
        <v>46</v>
      </c>
      <c r="R35">
        <v>1</v>
      </c>
      <c r="S35" s="2">
        <v>420</v>
      </c>
      <c r="T35" s="2">
        <v>769</v>
      </c>
      <c r="U35" s="2">
        <v>349</v>
      </c>
      <c r="V35" s="2">
        <f t="shared" si="2"/>
        <v>420</v>
      </c>
      <c r="W35" s="2">
        <f t="shared" si="3"/>
        <v>769</v>
      </c>
    </row>
    <row r="36" spans="1:23" x14ac:dyDescent="0.25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146</v>
      </c>
      <c r="I36" t="s">
        <v>21</v>
      </c>
      <c r="L36" t="s">
        <v>22</v>
      </c>
      <c r="M36" t="s">
        <v>23</v>
      </c>
      <c r="N36" t="s">
        <v>24</v>
      </c>
      <c r="O36" s="5" t="s">
        <v>136</v>
      </c>
      <c r="P36" s="5" t="s">
        <v>138</v>
      </c>
      <c r="Q36" s="11">
        <v>38</v>
      </c>
      <c r="R36">
        <v>1</v>
      </c>
      <c r="S36" s="2">
        <v>1266</v>
      </c>
      <c r="T36" s="2">
        <v>2320</v>
      </c>
      <c r="U36" s="2">
        <v>1054</v>
      </c>
      <c r="V36" s="2">
        <f t="shared" si="2"/>
        <v>1266</v>
      </c>
      <c r="W36" s="2">
        <f t="shared" si="3"/>
        <v>2320</v>
      </c>
    </row>
    <row r="37" spans="1:23" x14ac:dyDescent="0.25">
      <c r="A37" s="3" t="s">
        <v>75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146</v>
      </c>
      <c r="I37" t="s">
        <v>30</v>
      </c>
      <c r="L37" t="s">
        <v>31</v>
      </c>
      <c r="M37" t="s">
        <v>23</v>
      </c>
      <c r="N37" t="s">
        <v>24</v>
      </c>
      <c r="O37" s="5" t="s">
        <v>136</v>
      </c>
      <c r="P37" s="5" t="s">
        <v>138</v>
      </c>
      <c r="Q37" s="11">
        <v>42</v>
      </c>
      <c r="R37">
        <v>4</v>
      </c>
      <c r="S37" s="2">
        <v>1266</v>
      </c>
      <c r="T37" s="2">
        <v>2320</v>
      </c>
      <c r="U37" s="2">
        <v>4216</v>
      </c>
      <c r="V37" s="2">
        <f t="shared" si="2"/>
        <v>5064</v>
      </c>
      <c r="W37" s="2">
        <f t="shared" si="3"/>
        <v>9280</v>
      </c>
    </row>
    <row r="38" spans="1:23" x14ac:dyDescent="0.25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147</v>
      </c>
      <c r="I38" t="s">
        <v>21</v>
      </c>
      <c r="L38" t="s">
        <v>22</v>
      </c>
      <c r="M38" t="s">
        <v>23</v>
      </c>
      <c r="N38" t="s">
        <v>24</v>
      </c>
      <c r="O38" s="5" t="s">
        <v>139</v>
      </c>
      <c r="P38" s="5" t="s">
        <v>138</v>
      </c>
      <c r="Q38" s="11">
        <v>46</v>
      </c>
      <c r="R38">
        <v>4</v>
      </c>
      <c r="S38" s="2">
        <v>420</v>
      </c>
      <c r="T38" s="2">
        <v>769</v>
      </c>
      <c r="U38" s="2">
        <v>1396</v>
      </c>
      <c r="V38" s="2">
        <f t="shared" si="2"/>
        <v>1680</v>
      </c>
      <c r="W38" s="2">
        <f t="shared" si="3"/>
        <v>3076</v>
      </c>
    </row>
    <row r="39" spans="1:23" x14ac:dyDescent="0.25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147</v>
      </c>
      <c r="I39" t="s">
        <v>30</v>
      </c>
      <c r="L39" t="s">
        <v>31</v>
      </c>
      <c r="M39" t="s">
        <v>23</v>
      </c>
      <c r="N39" t="s">
        <v>24</v>
      </c>
      <c r="O39" s="5" t="s">
        <v>136</v>
      </c>
      <c r="P39" s="5" t="s">
        <v>137</v>
      </c>
      <c r="Q39" s="11">
        <v>38</v>
      </c>
      <c r="R39">
        <v>2</v>
      </c>
      <c r="S39" s="2">
        <v>1252</v>
      </c>
      <c r="T39" s="2">
        <v>2295</v>
      </c>
      <c r="U39" s="2">
        <v>2086</v>
      </c>
      <c r="V39" s="2">
        <f t="shared" si="2"/>
        <v>2504</v>
      </c>
      <c r="W39" s="2">
        <f t="shared" si="3"/>
        <v>4590</v>
      </c>
    </row>
    <row r="40" spans="1:23" x14ac:dyDescent="0.25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146</v>
      </c>
      <c r="I40" t="s">
        <v>30</v>
      </c>
      <c r="L40" t="s">
        <v>59</v>
      </c>
      <c r="M40" t="s">
        <v>23</v>
      </c>
      <c r="N40" t="s">
        <v>24</v>
      </c>
      <c r="O40" s="5" t="s">
        <v>136</v>
      </c>
      <c r="P40" s="5" t="s">
        <v>138</v>
      </c>
      <c r="Q40" s="11">
        <v>42</v>
      </c>
      <c r="R40">
        <v>1</v>
      </c>
      <c r="S40" s="2">
        <v>1266</v>
      </c>
      <c r="T40" s="2">
        <v>2320</v>
      </c>
      <c r="U40" s="2">
        <v>1054</v>
      </c>
      <c r="V40" s="2">
        <f t="shared" si="2"/>
        <v>1266</v>
      </c>
      <c r="W40" s="2">
        <f t="shared" si="3"/>
        <v>2320</v>
      </c>
    </row>
    <row r="41" spans="1:23" x14ac:dyDescent="0.25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146</v>
      </c>
      <c r="I41" t="s">
        <v>21</v>
      </c>
      <c r="L41" t="s">
        <v>36</v>
      </c>
      <c r="M41" t="s">
        <v>23</v>
      </c>
      <c r="N41" t="s">
        <v>24</v>
      </c>
      <c r="O41" s="5" t="s">
        <v>136</v>
      </c>
      <c r="P41" s="5" t="s">
        <v>138</v>
      </c>
      <c r="Q41" s="11">
        <v>42</v>
      </c>
      <c r="R41">
        <v>1</v>
      </c>
      <c r="S41" s="2">
        <v>1266</v>
      </c>
      <c r="T41" s="2">
        <v>2320</v>
      </c>
      <c r="U41" s="2">
        <v>1054</v>
      </c>
      <c r="V41" s="2">
        <f t="shared" si="2"/>
        <v>1266</v>
      </c>
      <c r="W41" s="2">
        <f t="shared" si="3"/>
        <v>2320</v>
      </c>
    </row>
    <row r="42" spans="1:23" x14ac:dyDescent="0.25">
      <c r="A42" s="3" t="s">
        <v>80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146</v>
      </c>
      <c r="I42" t="s">
        <v>30</v>
      </c>
      <c r="L42" t="s">
        <v>43</v>
      </c>
      <c r="M42" t="s">
        <v>23</v>
      </c>
      <c r="N42" t="s">
        <v>24</v>
      </c>
      <c r="O42" s="5" t="s">
        <v>136</v>
      </c>
      <c r="P42" s="5" t="s">
        <v>138</v>
      </c>
      <c r="Q42" s="11">
        <v>42</v>
      </c>
      <c r="R42">
        <v>3</v>
      </c>
      <c r="S42" s="2">
        <v>1266</v>
      </c>
      <c r="T42" s="2">
        <v>2320</v>
      </c>
      <c r="U42" s="2">
        <v>3162</v>
      </c>
      <c r="V42" s="2">
        <f t="shared" si="2"/>
        <v>3798</v>
      </c>
      <c r="W42" s="2">
        <f t="shared" si="3"/>
        <v>6960</v>
      </c>
    </row>
    <row r="43" spans="1:23" x14ac:dyDescent="0.25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146</v>
      </c>
      <c r="I43" t="s">
        <v>21</v>
      </c>
      <c r="L43" t="s">
        <v>22</v>
      </c>
      <c r="M43" t="s">
        <v>23</v>
      </c>
      <c r="N43" t="s">
        <v>24</v>
      </c>
      <c r="O43" s="5" t="s">
        <v>140</v>
      </c>
      <c r="P43" s="5" t="s">
        <v>138</v>
      </c>
      <c r="Q43" s="11">
        <v>40</v>
      </c>
      <c r="R43">
        <v>1</v>
      </c>
      <c r="S43" s="2">
        <v>308</v>
      </c>
      <c r="T43" s="2">
        <v>565</v>
      </c>
      <c r="U43" s="2">
        <v>257</v>
      </c>
      <c r="V43" s="2">
        <f t="shared" si="2"/>
        <v>308</v>
      </c>
      <c r="W43" s="2">
        <f t="shared" si="3"/>
        <v>565</v>
      </c>
    </row>
    <row r="44" spans="1:23" x14ac:dyDescent="0.25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146</v>
      </c>
      <c r="I44" t="s">
        <v>25</v>
      </c>
      <c r="L44" t="s">
        <v>26</v>
      </c>
      <c r="M44" t="s">
        <v>23</v>
      </c>
      <c r="N44" t="s">
        <v>24</v>
      </c>
      <c r="O44" s="5" t="s">
        <v>136</v>
      </c>
      <c r="P44" s="5" t="s">
        <v>137</v>
      </c>
      <c r="Q44" s="11">
        <v>38</v>
      </c>
      <c r="R44">
        <v>1</v>
      </c>
      <c r="S44" s="2">
        <v>1252</v>
      </c>
      <c r="T44" s="2">
        <v>2295</v>
      </c>
      <c r="U44" s="2">
        <v>1043</v>
      </c>
      <c r="V44" s="2">
        <f t="shared" si="2"/>
        <v>1252</v>
      </c>
      <c r="W44" s="2">
        <f t="shared" si="3"/>
        <v>2295</v>
      </c>
    </row>
    <row r="45" spans="1:23" x14ac:dyDescent="0.25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147</v>
      </c>
      <c r="I45" t="s">
        <v>25</v>
      </c>
      <c r="L45" t="s">
        <v>26</v>
      </c>
      <c r="M45" t="s">
        <v>23</v>
      </c>
      <c r="N45" t="s">
        <v>24</v>
      </c>
      <c r="O45" s="5" t="s">
        <v>136</v>
      </c>
      <c r="P45" s="5" t="s">
        <v>137</v>
      </c>
      <c r="Q45" s="11">
        <v>38</v>
      </c>
      <c r="R45">
        <v>1</v>
      </c>
      <c r="S45" s="2">
        <v>1252</v>
      </c>
      <c r="T45" s="2">
        <v>2295</v>
      </c>
      <c r="U45" s="2">
        <v>1043</v>
      </c>
      <c r="V45" s="2">
        <f t="shared" si="2"/>
        <v>1252</v>
      </c>
      <c r="W45" s="2">
        <f t="shared" si="3"/>
        <v>2295</v>
      </c>
    </row>
    <row r="46" spans="1:23" x14ac:dyDescent="0.25">
      <c r="A46" s="3" t="s">
        <v>84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146</v>
      </c>
      <c r="I46" t="s">
        <v>21</v>
      </c>
      <c r="L46" t="s">
        <v>36</v>
      </c>
      <c r="M46" t="s">
        <v>23</v>
      </c>
      <c r="N46" t="s">
        <v>24</v>
      </c>
      <c r="O46" s="5" t="s">
        <v>136</v>
      </c>
      <c r="P46" s="5" t="s">
        <v>138</v>
      </c>
      <c r="Q46" s="11">
        <v>38</v>
      </c>
      <c r="R46">
        <v>2</v>
      </c>
      <c r="S46" s="2">
        <v>1266</v>
      </c>
      <c r="T46" s="2">
        <v>2320</v>
      </c>
      <c r="U46" s="2">
        <v>2108</v>
      </c>
      <c r="V46" s="2">
        <f t="shared" si="2"/>
        <v>2532</v>
      </c>
      <c r="W46" s="2">
        <f t="shared" si="3"/>
        <v>4640</v>
      </c>
    </row>
    <row r="47" spans="1:23" x14ac:dyDescent="0.25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147</v>
      </c>
      <c r="I47" t="s">
        <v>21</v>
      </c>
      <c r="L47" t="s">
        <v>22</v>
      </c>
      <c r="M47" t="s">
        <v>23</v>
      </c>
      <c r="N47" t="s">
        <v>24</v>
      </c>
      <c r="O47" s="5" t="s">
        <v>136</v>
      </c>
      <c r="P47" s="5" t="s">
        <v>137</v>
      </c>
      <c r="Q47" s="11">
        <v>46</v>
      </c>
      <c r="R47">
        <v>1</v>
      </c>
      <c r="S47" s="2">
        <v>1252</v>
      </c>
      <c r="T47" s="2">
        <v>2295</v>
      </c>
      <c r="U47" s="2">
        <v>1043</v>
      </c>
      <c r="V47" s="2">
        <f t="shared" si="2"/>
        <v>1252</v>
      </c>
      <c r="W47" s="2">
        <f t="shared" si="3"/>
        <v>2295</v>
      </c>
    </row>
    <row r="48" spans="1:23" x14ac:dyDescent="0.25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146</v>
      </c>
      <c r="I48" t="s">
        <v>30</v>
      </c>
      <c r="L48" t="s">
        <v>59</v>
      </c>
      <c r="M48" t="s">
        <v>23</v>
      </c>
      <c r="N48" t="s">
        <v>24</v>
      </c>
      <c r="O48" s="5" t="s">
        <v>139</v>
      </c>
      <c r="P48" s="5" t="s">
        <v>138</v>
      </c>
      <c r="Q48" s="11">
        <v>46</v>
      </c>
      <c r="R48">
        <v>1</v>
      </c>
      <c r="S48" s="2">
        <v>420</v>
      </c>
      <c r="T48" s="2">
        <v>769</v>
      </c>
      <c r="U48" s="2">
        <v>349</v>
      </c>
      <c r="V48" s="2">
        <f t="shared" si="2"/>
        <v>420</v>
      </c>
      <c r="W48" s="2">
        <f t="shared" si="3"/>
        <v>769</v>
      </c>
    </row>
    <row r="49" spans="1:23" x14ac:dyDescent="0.25">
      <c r="A49" s="3" t="s">
        <v>87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146</v>
      </c>
      <c r="I49" t="s">
        <v>21</v>
      </c>
      <c r="L49" t="s">
        <v>22</v>
      </c>
      <c r="M49" t="s">
        <v>23</v>
      </c>
      <c r="N49" t="s">
        <v>24</v>
      </c>
      <c r="O49" s="5" t="s">
        <v>136</v>
      </c>
      <c r="P49" s="5" t="s">
        <v>138</v>
      </c>
      <c r="Q49" s="11">
        <v>42</v>
      </c>
      <c r="R49">
        <v>1</v>
      </c>
      <c r="S49" s="2">
        <v>1266</v>
      </c>
      <c r="T49" s="2">
        <v>2320</v>
      </c>
      <c r="U49" s="2">
        <v>1054</v>
      </c>
      <c r="V49" s="2">
        <f t="shared" si="2"/>
        <v>1266</v>
      </c>
      <c r="W49" s="2">
        <f t="shared" si="3"/>
        <v>2320</v>
      </c>
    </row>
    <row r="50" spans="1:23" x14ac:dyDescent="0.25">
      <c r="A50" s="3" t="s">
        <v>88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146</v>
      </c>
      <c r="I50" t="s">
        <v>30</v>
      </c>
      <c r="L50" t="s">
        <v>31</v>
      </c>
      <c r="M50" t="s">
        <v>23</v>
      </c>
      <c r="N50" t="s">
        <v>24</v>
      </c>
      <c r="O50" s="5" t="s">
        <v>136</v>
      </c>
      <c r="P50" s="5" t="s">
        <v>137</v>
      </c>
      <c r="Q50" s="11">
        <v>38</v>
      </c>
      <c r="R50">
        <v>2</v>
      </c>
      <c r="S50" s="2">
        <v>1252</v>
      </c>
      <c r="T50" s="2">
        <v>2295</v>
      </c>
      <c r="U50" s="2">
        <v>2086</v>
      </c>
      <c r="V50" s="2">
        <f t="shared" si="2"/>
        <v>2504</v>
      </c>
      <c r="W50" s="2">
        <f t="shared" si="3"/>
        <v>4590</v>
      </c>
    </row>
    <row r="51" spans="1:23" x14ac:dyDescent="0.25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147</v>
      </c>
      <c r="I51" t="s">
        <v>30</v>
      </c>
      <c r="L51" t="s">
        <v>31</v>
      </c>
      <c r="M51" t="s">
        <v>23</v>
      </c>
      <c r="N51" t="s">
        <v>24</v>
      </c>
      <c r="O51" s="5" t="s">
        <v>136</v>
      </c>
      <c r="P51" s="5" t="s">
        <v>137</v>
      </c>
      <c r="Q51" s="11">
        <v>38</v>
      </c>
      <c r="R51">
        <v>2</v>
      </c>
      <c r="S51" s="2">
        <v>1252</v>
      </c>
      <c r="T51" s="2">
        <v>2295</v>
      </c>
      <c r="U51" s="2">
        <v>2086</v>
      </c>
      <c r="V51" s="2">
        <f t="shared" si="2"/>
        <v>2504</v>
      </c>
      <c r="W51" s="2">
        <f t="shared" si="3"/>
        <v>4590</v>
      </c>
    </row>
    <row r="52" spans="1:23" x14ac:dyDescent="0.25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146</v>
      </c>
      <c r="I52" t="s">
        <v>69</v>
      </c>
      <c r="L52" t="s">
        <v>91</v>
      </c>
      <c r="M52" t="s">
        <v>23</v>
      </c>
      <c r="N52" t="s">
        <v>24</v>
      </c>
      <c r="O52" s="5" t="s">
        <v>136</v>
      </c>
      <c r="P52" s="5" t="s">
        <v>138</v>
      </c>
      <c r="Q52" s="11">
        <v>46</v>
      </c>
      <c r="R52">
        <v>1</v>
      </c>
      <c r="S52" s="2">
        <v>1266</v>
      </c>
      <c r="T52" s="2">
        <v>2320</v>
      </c>
      <c r="U52" s="2">
        <v>1054</v>
      </c>
      <c r="V52" s="2">
        <f t="shared" si="2"/>
        <v>1266</v>
      </c>
      <c r="W52" s="2">
        <f t="shared" si="3"/>
        <v>2320</v>
      </c>
    </row>
    <row r="53" spans="1:23" x14ac:dyDescent="0.25">
      <c r="A53" s="3" t="s">
        <v>92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146</v>
      </c>
      <c r="I53" t="s">
        <v>21</v>
      </c>
      <c r="L53" t="s">
        <v>36</v>
      </c>
      <c r="M53" t="s">
        <v>23</v>
      </c>
      <c r="N53" t="s">
        <v>24</v>
      </c>
      <c r="O53" s="5" t="s">
        <v>136</v>
      </c>
      <c r="P53" s="5" t="s">
        <v>138</v>
      </c>
      <c r="Q53" s="11">
        <v>38</v>
      </c>
      <c r="R53">
        <v>2</v>
      </c>
      <c r="S53" s="2">
        <v>1266</v>
      </c>
      <c r="T53" s="2">
        <v>2320</v>
      </c>
      <c r="U53" s="2">
        <v>2108</v>
      </c>
      <c r="V53" s="2">
        <f t="shared" si="2"/>
        <v>2532</v>
      </c>
      <c r="W53" s="2">
        <f t="shared" si="3"/>
        <v>4640</v>
      </c>
    </row>
    <row r="54" spans="1:23" x14ac:dyDescent="0.25">
      <c r="A54" s="3" t="s">
        <v>93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147</v>
      </c>
      <c r="I54" t="s">
        <v>30</v>
      </c>
      <c r="L54" t="s">
        <v>31</v>
      </c>
      <c r="M54" t="s">
        <v>23</v>
      </c>
      <c r="N54" t="s">
        <v>24</v>
      </c>
      <c r="O54" s="5" t="s">
        <v>139</v>
      </c>
      <c r="P54" s="5" t="s">
        <v>138</v>
      </c>
      <c r="Q54" s="11">
        <v>42</v>
      </c>
      <c r="R54">
        <v>1</v>
      </c>
      <c r="S54" s="2">
        <v>420</v>
      </c>
      <c r="T54" s="2">
        <v>769</v>
      </c>
      <c r="U54" s="2">
        <v>349</v>
      </c>
      <c r="V54" s="2">
        <f t="shared" si="2"/>
        <v>420</v>
      </c>
      <c r="W54" s="2">
        <f t="shared" si="3"/>
        <v>769</v>
      </c>
    </row>
    <row r="55" spans="1:23" x14ac:dyDescent="0.25">
      <c r="A55" s="3" t="s">
        <v>94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146</v>
      </c>
      <c r="I55" t="s">
        <v>40</v>
      </c>
      <c r="L55" t="s">
        <v>41</v>
      </c>
      <c r="M55" t="s">
        <v>23</v>
      </c>
      <c r="N55" t="s">
        <v>24</v>
      </c>
      <c r="O55" s="5" t="s">
        <v>136</v>
      </c>
      <c r="P55" s="5" t="s">
        <v>138</v>
      </c>
      <c r="Q55" s="11">
        <v>46</v>
      </c>
      <c r="R55">
        <v>1</v>
      </c>
      <c r="S55" s="2">
        <v>1266</v>
      </c>
      <c r="T55" s="2">
        <v>2320</v>
      </c>
      <c r="U55" s="2">
        <v>1054</v>
      </c>
      <c r="V55" s="2">
        <f t="shared" si="2"/>
        <v>1266</v>
      </c>
      <c r="W55" s="2">
        <f t="shared" si="3"/>
        <v>2320</v>
      </c>
    </row>
    <row r="56" spans="1:23" x14ac:dyDescent="0.25">
      <c r="A56" s="3" t="s">
        <v>95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146</v>
      </c>
      <c r="I56" t="s">
        <v>30</v>
      </c>
      <c r="L56" t="s">
        <v>31</v>
      </c>
      <c r="M56" t="s">
        <v>23</v>
      </c>
      <c r="N56" t="s">
        <v>24</v>
      </c>
      <c r="O56" s="5" t="s">
        <v>140</v>
      </c>
      <c r="P56" s="5" t="s">
        <v>138</v>
      </c>
      <c r="Q56" s="11">
        <v>42</v>
      </c>
      <c r="R56">
        <v>4</v>
      </c>
      <c r="S56" s="2">
        <v>308</v>
      </c>
      <c r="T56" s="2">
        <v>565</v>
      </c>
      <c r="U56" s="2">
        <v>1028</v>
      </c>
      <c r="V56" s="2">
        <f t="shared" si="2"/>
        <v>1232</v>
      </c>
      <c r="W56" s="2">
        <f t="shared" si="3"/>
        <v>2260</v>
      </c>
    </row>
    <row r="57" spans="1:23" x14ac:dyDescent="0.25">
      <c r="A57" s="3" t="s">
        <v>96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146</v>
      </c>
      <c r="I57" t="s">
        <v>40</v>
      </c>
      <c r="L57" t="s">
        <v>41</v>
      </c>
      <c r="M57" t="s">
        <v>23</v>
      </c>
      <c r="N57" t="s">
        <v>24</v>
      </c>
      <c r="O57" s="5" t="s">
        <v>136</v>
      </c>
      <c r="P57" s="5" t="s">
        <v>138</v>
      </c>
      <c r="Q57" s="11">
        <v>46</v>
      </c>
      <c r="R57">
        <v>4</v>
      </c>
      <c r="S57" s="2">
        <v>1266</v>
      </c>
      <c r="T57" s="2">
        <v>2320</v>
      </c>
      <c r="U57" s="2">
        <v>4216</v>
      </c>
      <c r="V57" s="2">
        <f t="shared" si="2"/>
        <v>5064</v>
      </c>
      <c r="W57" s="2">
        <f t="shared" si="3"/>
        <v>9280</v>
      </c>
    </row>
    <row r="58" spans="1:23" x14ac:dyDescent="0.25">
      <c r="A58" s="3" t="s">
        <v>97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146</v>
      </c>
      <c r="I58" t="s">
        <v>69</v>
      </c>
      <c r="L58" t="s">
        <v>98</v>
      </c>
      <c r="M58" t="s">
        <v>23</v>
      </c>
      <c r="N58" t="s">
        <v>24</v>
      </c>
      <c r="O58" s="5" t="s">
        <v>136</v>
      </c>
      <c r="P58" s="5" t="s">
        <v>138</v>
      </c>
      <c r="Q58" s="11">
        <v>38</v>
      </c>
      <c r="R58">
        <v>3</v>
      </c>
      <c r="S58" s="2">
        <v>1266</v>
      </c>
      <c r="T58" s="2">
        <v>2320</v>
      </c>
      <c r="U58" s="2">
        <v>3162</v>
      </c>
      <c r="V58" s="2">
        <f t="shared" si="2"/>
        <v>3798</v>
      </c>
      <c r="W58" s="2">
        <f t="shared" si="3"/>
        <v>6960</v>
      </c>
    </row>
    <row r="59" spans="1:23" x14ac:dyDescent="0.25">
      <c r="A59" s="3" t="s">
        <v>99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146</v>
      </c>
      <c r="I59" t="s">
        <v>25</v>
      </c>
      <c r="L59" t="s">
        <v>26</v>
      </c>
      <c r="M59" t="s">
        <v>23</v>
      </c>
      <c r="N59" t="s">
        <v>24</v>
      </c>
      <c r="O59" s="5" t="s">
        <v>139</v>
      </c>
      <c r="P59" s="5" t="s">
        <v>138</v>
      </c>
      <c r="Q59" s="11">
        <v>42</v>
      </c>
      <c r="R59">
        <v>3</v>
      </c>
      <c r="S59" s="2">
        <v>420</v>
      </c>
      <c r="T59" s="2">
        <v>769</v>
      </c>
      <c r="U59" s="2">
        <v>1047</v>
      </c>
      <c r="V59" s="2">
        <f t="shared" si="2"/>
        <v>1260</v>
      </c>
      <c r="W59" s="2">
        <f t="shared" si="3"/>
        <v>2307</v>
      </c>
    </row>
    <row r="60" spans="1:23" x14ac:dyDescent="0.25">
      <c r="A60" s="3" t="s">
        <v>100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147</v>
      </c>
      <c r="I60" t="s">
        <v>21</v>
      </c>
      <c r="L60" t="s">
        <v>22</v>
      </c>
      <c r="M60" t="s">
        <v>23</v>
      </c>
      <c r="N60" t="s">
        <v>24</v>
      </c>
      <c r="O60" s="5" t="s">
        <v>136</v>
      </c>
      <c r="P60" s="5" t="s">
        <v>137</v>
      </c>
      <c r="Q60" s="11">
        <v>42</v>
      </c>
      <c r="R60">
        <v>3</v>
      </c>
      <c r="S60" s="2">
        <v>1252</v>
      </c>
      <c r="T60" s="2">
        <v>2295</v>
      </c>
      <c r="U60" s="2">
        <v>3129</v>
      </c>
      <c r="V60" s="2">
        <f t="shared" si="2"/>
        <v>3756</v>
      </c>
      <c r="W60" s="2">
        <f t="shared" si="3"/>
        <v>6885</v>
      </c>
    </row>
    <row r="61" spans="1:23" x14ac:dyDescent="0.25">
      <c r="A61" s="3" t="s">
        <v>101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147</v>
      </c>
      <c r="I61" t="s">
        <v>69</v>
      </c>
      <c r="L61" t="s">
        <v>70</v>
      </c>
      <c r="M61" t="s">
        <v>23</v>
      </c>
      <c r="N61" t="s">
        <v>24</v>
      </c>
      <c r="O61" s="5" t="s">
        <v>136</v>
      </c>
      <c r="P61" s="5" t="s">
        <v>137</v>
      </c>
      <c r="Q61" s="11">
        <v>46</v>
      </c>
      <c r="R61">
        <v>1</v>
      </c>
      <c r="S61" s="2">
        <v>1252</v>
      </c>
      <c r="T61" s="2">
        <v>2295</v>
      </c>
      <c r="U61" s="2">
        <v>1043</v>
      </c>
      <c r="V61" s="2">
        <f t="shared" si="2"/>
        <v>1252</v>
      </c>
      <c r="W61" s="2">
        <f t="shared" si="3"/>
        <v>2295</v>
      </c>
    </row>
    <row r="62" spans="1:23" x14ac:dyDescent="0.25">
      <c r="A62" s="3" t="s">
        <v>102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147</v>
      </c>
      <c r="I62" t="s">
        <v>21</v>
      </c>
      <c r="L62" t="s">
        <v>36</v>
      </c>
      <c r="M62" t="s">
        <v>23</v>
      </c>
      <c r="N62" t="s">
        <v>24</v>
      </c>
      <c r="O62" s="5" t="s">
        <v>136</v>
      </c>
      <c r="P62" s="5" t="s">
        <v>138</v>
      </c>
      <c r="Q62" s="11">
        <v>38</v>
      </c>
      <c r="R62">
        <v>1</v>
      </c>
      <c r="S62" s="2">
        <v>1266</v>
      </c>
      <c r="T62" s="2">
        <v>2320</v>
      </c>
      <c r="U62" s="2">
        <v>1054</v>
      </c>
      <c r="V62" s="2">
        <f t="shared" si="2"/>
        <v>1266</v>
      </c>
      <c r="W62" s="2">
        <f t="shared" si="3"/>
        <v>2320</v>
      </c>
    </row>
    <row r="63" spans="1:23" x14ac:dyDescent="0.25">
      <c r="A63" s="3" t="s">
        <v>103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147</v>
      </c>
      <c r="I63" t="s">
        <v>69</v>
      </c>
      <c r="L63" t="s">
        <v>104</v>
      </c>
      <c r="M63" t="s">
        <v>23</v>
      </c>
      <c r="N63" t="s">
        <v>24</v>
      </c>
      <c r="O63" s="5" t="s">
        <v>136</v>
      </c>
      <c r="P63" s="5" t="s">
        <v>138</v>
      </c>
      <c r="Q63" s="11">
        <v>46</v>
      </c>
      <c r="R63">
        <v>4</v>
      </c>
      <c r="S63" s="2">
        <v>1266</v>
      </c>
      <c r="T63" s="2">
        <v>2320</v>
      </c>
      <c r="U63" s="2">
        <v>4216</v>
      </c>
      <c r="V63" s="2">
        <f t="shared" si="2"/>
        <v>5064</v>
      </c>
      <c r="W63" s="2">
        <f t="shared" si="3"/>
        <v>9280</v>
      </c>
    </row>
    <row r="64" spans="1:23" x14ac:dyDescent="0.25">
      <c r="A64" s="3" t="s">
        <v>105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146</v>
      </c>
      <c r="I64" t="s">
        <v>30</v>
      </c>
      <c r="L64" t="s">
        <v>59</v>
      </c>
      <c r="M64" t="s">
        <v>23</v>
      </c>
      <c r="N64" t="s">
        <v>24</v>
      </c>
      <c r="O64" s="5" t="s">
        <v>140</v>
      </c>
      <c r="P64" s="5" t="s">
        <v>137</v>
      </c>
      <c r="Q64" s="11">
        <v>44</v>
      </c>
      <c r="R64">
        <v>4</v>
      </c>
      <c r="S64" s="2">
        <v>295</v>
      </c>
      <c r="T64" s="2">
        <v>540</v>
      </c>
      <c r="U64" s="2">
        <v>980</v>
      </c>
      <c r="V64" s="2">
        <f t="shared" si="2"/>
        <v>1180</v>
      </c>
      <c r="W64" s="2">
        <f t="shared" si="3"/>
        <v>2160</v>
      </c>
    </row>
    <row r="65" spans="1:23" x14ac:dyDescent="0.25">
      <c r="A65" s="3" t="s">
        <v>106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147</v>
      </c>
      <c r="I65" t="s">
        <v>69</v>
      </c>
      <c r="L65" t="s">
        <v>70</v>
      </c>
      <c r="M65" t="s">
        <v>23</v>
      </c>
      <c r="N65" t="s">
        <v>24</v>
      </c>
      <c r="O65" s="5" t="s">
        <v>136</v>
      </c>
      <c r="P65" s="5" t="s">
        <v>137</v>
      </c>
      <c r="Q65" s="11">
        <v>38</v>
      </c>
      <c r="R65">
        <v>4</v>
      </c>
      <c r="S65" s="2">
        <v>1252</v>
      </c>
      <c r="T65" s="2">
        <v>2295</v>
      </c>
      <c r="U65" s="2">
        <v>4172</v>
      </c>
      <c r="V65" s="2">
        <f t="shared" si="2"/>
        <v>5008</v>
      </c>
      <c r="W65" s="2">
        <f t="shared" si="3"/>
        <v>9180</v>
      </c>
    </row>
    <row r="66" spans="1:23" x14ac:dyDescent="0.25">
      <c r="A66" s="3" t="s">
        <v>107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146</v>
      </c>
      <c r="I66" t="s">
        <v>21</v>
      </c>
      <c r="L66" t="s">
        <v>56</v>
      </c>
      <c r="M66" t="s">
        <v>23</v>
      </c>
      <c r="N66" t="s">
        <v>24</v>
      </c>
      <c r="O66" s="5" t="s">
        <v>141</v>
      </c>
      <c r="P66" s="5" t="s">
        <v>137</v>
      </c>
      <c r="Q66" s="11">
        <v>48</v>
      </c>
      <c r="R66">
        <v>4</v>
      </c>
      <c r="S66" s="2">
        <v>1898</v>
      </c>
      <c r="T66" s="2">
        <v>3375</v>
      </c>
      <c r="U66" s="2">
        <v>5908</v>
      </c>
      <c r="V66" s="2">
        <f t="shared" si="2"/>
        <v>7592</v>
      </c>
      <c r="W66" s="2">
        <f t="shared" si="3"/>
        <v>13500</v>
      </c>
    </row>
    <row r="67" spans="1:23" x14ac:dyDescent="0.25">
      <c r="A67" s="3" t="s">
        <v>108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147</v>
      </c>
      <c r="I67" t="s">
        <v>21</v>
      </c>
      <c r="L67" t="s">
        <v>56</v>
      </c>
      <c r="M67" t="s">
        <v>23</v>
      </c>
      <c r="N67" t="s">
        <v>24</v>
      </c>
      <c r="O67" s="5" t="s">
        <v>136</v>
      </c>
      <c r="P67" s="5" t="s">
        <v>137</v>
      </c>
      <c r="Q67" s="11">
        <v>38</v>
      </c>
      <c r="R67">
        <v>4</v>
      </c>
      <c r="S67" s="2">
        <v>1252</v>
      </c>
      <c r="T67" s="2">
        <v>2295</v>
      </c>
      <c r="U67" s="2">
        <v>4172</v>
      </c>
      <c r="V67" s="2">
        <f t="shared" ref="V67:V89" si="4">R67*S67</f>
        <v>5008</v>
      </c>
      <c r="W67" s="2">
        <f t="shared" ref="W67:W89" si="5">R67*T67</f>
        <v>9180</v>
      </c>
    </row>
    <row r="68" spans="1:23" x14ac:dyDescent="0.25">
      <c r="A68" s="3" t="s">
        <v>109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146</v>
      </c>
      <c r="I68" t="s">
        <v>21</v>
      </c>
      <c r="L68" t="s">
        <v>22</v>
      </c>
      <c r="M68" t="s">
        <v>23</v>
      </c>
      <c r="N68" t="s">
        <v>24</v>
      </c>
      <c r="O68" s="5" t="s">
        <v>136</v>
      </c>
      <c r="P68" s="5" t="s">
        <v>137</v>
      </c>
      <c r="Q68" s="11">
        <v>46</v>
      </c>
      <c r="R68">
        <v>4</v>
      </c>
      <c r="S68" s="2">
        <v>1252</v>
      </c>
      <c r="T68" s="2">
        <v>2295</v>
      </c>
      <c r="U68" s="2">
        <v>4172</v>
      </c>
      <c r="V68" s="2">
        <f t="shared" si="4"/>
        <v>5008</v>
      </c>
      <c r="W68" s="2">
        <f t="shared" si="5"/>
        <v>9180</v>
      </c>
    </row>
    <row r="69" spans="1:23" x14ac:dyDescent="0.25">
      <c r="A69" s="3" t="s">
        <v>110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146</v>
      </c>
      <c r="I69" t="s">
        <v>30</v>
      </c>
      <c r="L69" t="s">
        <v>43</v>
      </c>
      <c r="M69" t="s">
        <v>23</v>
      </c>
      <c r="N69" t="s">
        <v>24</v>
      </c>
      <c r="O69" s="5" t="s">
        <v>136</v>
      </c>
      <c r="P69" s="5" t="s">
        <v>137</v>
      </c>
      <c r="Q69" s="11">
        <v>46</v>
      </c>
      <c r="R69">
        <v>4</v>
      </c>
      <c r="S69" s="2">
        <v>1252</v>
      </c>
      <c r="T69" s="2">
        <v>2295</v>
      </c>
      <c r="U69" s="2">
        <v>4172</v>
      </c>
      <c r="V69" s="2">
        <f t="shared" si="4"/>
        <v>5008</v>
      </c>
      <c r="W69" s="2">
        <f t="shared" si="5"/>
        <v>9180</v>
      </c>
    </row>
    <row r="70" spans="1:23" x14ac:dyDescent="0.25">
      <c r="A70" s="3" t="s">
        <v>111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147</v>
      </c>
      <c r="I70" t="s">
        <v>30</v>
      </c>
      <c r="L70" t="s">
        <v>112</v>
      </c>
      <c r="M70" t="s">
        <v>23</v>
      </c>
      <c r="N70" t="s">
        <v>24</v>
      </c>
      <c r="O70" s="5" t="s">
        <v>140</v>
      </c>
      <c r="P70" s="5" t="s">
        <v>137</v>
      </c>
      <c r="Q70" s="11">
        <v>40</v>
      </c>
      <c r="R70">
        <v>2</v>
      </c>
      <c r="S70" s="2">
        <v>295</v>
      </c>
      <c r="T70" s="2">
        <v>540</v>
      </c>
      <c r="U70" s="2">
        <v>490</v>
      </c>
      <c r="V70" s="2">
        <f t="shared" si="4"/>
        <v>590</v>
      </c>
      <c r="W70" s="2">
        <f t="shared" si="5"/>
        <v>1080</v>
      </c>
    </row>
    <row r="71" spans="1:23" x14ac:dyDescent="0.25">
      <c r="A71" s="3" t="s">
        <v>113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146</v>
      </c>
      <c r="I71" t="s">
        <v>40</v>
      </c>
      <c r="L71" t="s">
        <v>114</v>
      </c>
      <c r="M71" t="s">
        <v>23</v>
      </c>
      <c r="N71" t="s">
        <v>24</v>
      </c>
      <c r="O71" s="5" t="s">
        <v>136</v>
      </c>
      <c r="P71" s="5" t="s">
        <v>137</v>
      </c>
      <c r="Q71" s="11">
        <v>46</v>
      </c>
      <c r="R71">
        <v>2</v>
      </c>
      <c r="S71" s="2">
        <v>1252</v>
      </c>
      <c r="T71" s="2">
        <v>2295</v>
      </c>
      <c r="U71" s="2">
        <v>2086</v>
      </c>
      <c r="V71" s="2">
        <f t="shared" si="4"/>
        <v>2504</v>
      </c>
      <c r="W71" s="2">
        <f t="shared" si="5"/>
        <v>4590</v>
      </c>
    </row>
    <row r="72" spans="1:23" x14ac:dyDescent="0.25">
      <c r="A72" s="3" t="s">
        <v>115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146</v>
      </c>
      <c r="I72" t="s">
        <v>21</v>
      </c>
      <c r="L72" t="s">
        <v>36</v>
      </c>
      <c r="M72" t="s">
        <v>23</v>
      </c>
      <c r="N72" t="s">
        <v>24</v>
      </c>
      <c r="O72" s="5" t="s">
        <v>136</v>
      </c>
      <c r="P72" s="5" t="s">
        <v>138</v>
      </c>
      <c r="Q72" s="11">
        <v>38</v>
      </c>
      <c r="R72">
        <v>1</v>
      </c>
      <c r="S72" s="2">
        <v>1266</v>
      </c>
      <c r="T72" s="2">
        <v>2320</v>
      </c>
      <c r="U72" s="2">
        <v>1054</v>
      </c>
      <c r="V72" s="2">
        <f t="shared" si="4"/>
        <v>1266</v>
      </c>
      <c r="W72" s="2">
        <f t="shared" si="5"/>
        <v>2320</v>
      </c>
    </row>
    <row r="73" spans="1:23" x14ac:dyDescent="0.25">
      <c r="A73" s="3" t="s">
        <v>116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146</v>
      </c>
      <c r="I73" t="s">
        <v>30</v>
      </c>
      <c r="L73" t="s">
        <v>59</v>
      </c>
      <c r="M73" t="s">
        <v>23</v>
      </c>
      <c r="N73" t="s">
        <v>24</v>
      </c>
      <c r="O73" s="5" t="s">
        <v>141</v>
      </c>
      <c r="P73" s="5" t="s">
        <v>137</v>
      </c>
      <c r="Q73" s="11">
        <v>38</v>
      </c>
      <c r="R73">
        <v>4</v>
      </c>
      <c r="S73" s="2">
        <v>1898</v>
      </c>
      <c r="T73" s="2">
        <v>3375</v>
      </c>
      <c r="U73" s="2">
        <v>5908</v>
      </c>
      <c r="V73" s="2">
        <f t="shared" si="4"/>
        <v>7592</v>
      </c>
      <c r="W73" s="2">
        <f t="shared" si="5"/>
        <v>13500</v>
      </c>
    </row>
    <row r="74" spans="1:23" x14ac:dyDescent="0.25">
      <c r="A74" s="3" t="s">
        <v>117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147</v>
      </c>
      <c r="I74" t="s">
        <v>30</v>
      </c>
      <c r="L74" t="s">
        <v>43</v>
      </c>
      <c r="M74" t="s">
        <v>23</v>
      </c>
      <c r="N74" t="s">
        <v>24</v>
      </c>
      <c r="O74" s="5" t="s">
        <v>136</v>
      </c>
      <c r="P74" s="5" t="s">
        <v>137</v>
      </c>
      <c r="Q74" s="11">
        <v>46</v>
      </c>
      <c r="R74">
        <v>4</v>
      </c>
      <c r="S74" s="2">
        <v>1252</v>
      </c>
      <c r="T74" s="2">
        <v>2295</v>
      </c>
      <c r="U74" s="2">
        <v>4172</v>
      </c>
      <c r="V74" s="2">
        <f t="shared" si="4"/>
        <v>5008</v>
      </c>
      <c r="W74" s="2">
        <f t="shared" si="5"/>
        <v>9180</v>
      </c>
    </row>
    <row r="75" spans="1:23" x14ac:dyDescent="0.25">
      <c r="A75" s="3" t="s">
        <v>118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147</v>
      </c>
      <c r="I75" t="s">
        <v>47</v>
      </c>
      <c r="L75" t="s">
        <v>48</v>
      </c>
      <c r="M75" t="s">
        <v>23</v>
      </c>
      <c r="N75" t="s">
        <v>24</v>
      </c>
      <c r="O75" s="5" t="s">
        <v>140</v>
      </c>
      <c r="P75" s="5" t="s">
        <v>137</v>
      </c>
      <c r="Q75" s="11">
        <v>52</v>
      </c>
      <c r="R75">
        <v>3</v>
      </c>
      <c r="S75" s="2">
        <v>295</v>
      </c>
      <c r="T75" s="2">
        <v>540</v>
      </c>
      <c r="U75" s="2">
        <v>735</v>
      </c>
      <c r="V75" s="2">
        <f t="shared" si="4"/>
        <v>885</v>
      </c>
      <c r="W75" s="2">
        <f t="shared" si="5"/>
        <v>1620</v>
      </c>
    </row>
    <row r="76" spans="1:23" x14ac:dyDescent="0.25">
      <c r="A76" s="3" t="s">
        <v>119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146</v>
      </c>
      <c r="I76" t="s">
        <v>30</v>
      </c>
      <c r="L76" t="s">
        <v>43</v>
      </c>
      <c r="M76" t="s">
        <v>23</v>
      </c>
      <c r="N76" t="s">
        <v>24</v>
      </c>
      <c r="O76" s="5" t="s">
        <v>136</v>
      </c>
      <c r="P76" s="5" t="s">
        <v>138</v>
      </c>
      <c r="Q76" s="11">
        <v>38</v>
      </c>
      <c r="R76">
        <v>1</v>
      </c>
      <c r="S76" s="2">
        <v>1266</v>
      </c>
      <c r="T76" s="2">
        <v>2320</v>
      </c>
      <c r="U76" s="2">
        <v>1054</v>
      </c>
      <c r="V76" s="2">
        <f t="shared" si="4"/>
        <v>1266</v>
      </c>
      <c r="W76" s="2">
        <f t="shared" si="5"/>
        <v>2320</v>
      </c>
    </row>
    <row r="77" spans="1:23" x14ac:dyDescent="0.25">
      <c r="A77" s="3" t="s">
        <v>120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147</v>
      </c>
      <c r="I77" t="s">
        <v>30</v>
      </c>
      <c r="L77" t="s">
        <v>59</v>
      </c>
      <c r="M77" t="s">
        <v>23</v>
      </c>
      <c r="N77" t="s">
        <v>24</v>
      </c>
      <c r="O77" s="5" t="s">
        <v>136</v>
      </c>
      <c r="P77" s="5" t="s">
        <v>138</v>
      </c>
      <c r="Q77" s="11">
        <v>38</v>
      </c>
      <c r="R77">
        <v>1</v>
      </c>
      <c r="S77" s="2">
        <v>1266</v>
      </c>
      <c r="T77" s="2">
        <v>2320</v>
      </c>
      <c r="U77" s="2">
        <v>1054</v>
      </c>
      <c r="V77" s="2">
        <f t="shared" si="4"/>
        <v>1266</v>
      </c>
      <c r="W77" s="2">
        <f t="shared" si="5"/>
        <v>2320</v>
      </c>
    </row>
    <row r="78" spans="1:23" x14ac:dyDescent="0.25">
      <c r="A78" s="3" t="s">
        <v>121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147</v>
      </c>
      <c r="I78" t="s">
        <v>69</v>
      </c>
      <c r="L78" t="s">
        <v>122</v>
      </c>
      <c r="M78" t="s">
        <v>23</v>
      </c>
      <c r="N78" t="s">
        <v>24</v>
      </c>
      <c r="O78" s="5" t="s">
        <v>136</v>
      </c>
      <c r="P78" s="5" t="s">
        <v>138</v>
      </c>
      <c r="Q78" s="11">
        <v>38</v>
      </c>
      <c r="R78">
        <v>3</v>
      </c>
      <c r="S78" s="2">
        <v>1266</v>
      </c>
      <c r="T78" s="2">
        <v>2320</v>
      </c>
      <c r="U78" s="2">
        <v>3162</v>
      </c>
      <c r="V78" s="2">
        <f t="shared" si="4"/>
        <v>3798</v>
      </c>
      <c r="W78" s="2">
        <f t="shared" si="5"/>
        <v>6960</v>
      </c>
    </row>
    <row r="79" spans="1:23" x14ac:dyDescent="0.25">
      <c r="A79" s="3" t="s">
        <v>123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147</v>
      </c>
      <c r="I79" t="s">
        <v>25</v>
      </c>
      <c r="L79" t="s">
        <v>26</v>
      </c>
      <c r="M79" t="s">
        <v>23</v>
      </c>
      <c r="N79" t="s">
        <v>24</v>
      </c>
      <c r="O79" s="5" t="s">
        <v>139</v>
      </c>
      <c r="P79" s="5" t="s">
        <v>138</v>
      </c>
      <c r="Q79" s="11">
        <v>46</v>
      </c>
      <c r="R79">
        <v>2</v>
      </c>
      <c r="S79" s="2">
        <v>420</v>
      </c>
      <c r="T79" s="2">
        <v>769</v>
      </c>
      <c r="U79" s="2">
        <v>698</v>
      </c>
      <c r="V79" s="2">
        <f t="shared" si="4"/>
        <v>840</v>
      </c>
      <c r="W79" s="2">
        <f t="shared" si="5"/>
        <v>1538</v>
      </c>
    </row>
    <row r="80" spans="1:23" x14ac:dyDescent="0.25">
      <c r="A80" s="3" t="s">
        <v>124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146</v>
      </c>
      <c r="I80" t="s">
        <v>21</v>
      </c>
      <c r="L80" t="s">
        <v>36</v>
      </c>
      <c r="M80" t="s">
        <v>23</v>
      </c>
      <c r="N80" t="s">
        <v>24</v>
      </c>
      <c r="O80" s="5" t="s">
        <v>136</v>
      </c>
      <c r="P80" s="5" t="s">
        <v>138</v>
      </c>
      <c r="Q80" s="11">
        <v>38</v>
      </c>
      <c r="R80">
        <v>3</v>
      </c>
      <c r="S80" s="2">
        <v>1266</v>
      </c>
      <c r="T80" s="2">
        <v>2320</v>
      </c>
      <c r="U80" s="2">
        <v>3162</v>
      </c>
      <c r="V80" s="2">
        <f t="shared" si="4"/>
        <v>3798</v>
      </c>
      <c r="W80" s="2">
        <f t="shared" si="5"/>
        <v>6960</v>
      </c>
    </row>
    <row r="81" spans="1:23" x14ac:dyDescent="0.25">
      <c r="A81" s="3" t="s">
        <v>125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147</v>
      </c>
      <c r="I81" t="s">
        <v>21</v>
      </c>
      <c r="L81" t="s">
        <v>22</v>
      </c>
      <c r="M81" t="s">
        <v>23</v>
      </c>
      <c r="N81" t="s">
        <v>24</v>
      </c>
      <c r="O81" s="5" t="s">
        <v>136</v>
      </c>
      <c r="P81" s="5" t="s">
        <v>137</v>
      </c>
      <c r="Q81" s="11">
        <v>42</v>
      </c>
      <c r="R81">
        <v>3</v>
      </c>
      <c r="S81" s="2">
        <v>1252</v>
      </c>
      <c r="T81" s="2">
        <v>2295</v>
      </c>
      <c r="U81" s="2">
        <v>3129</v>
      </c>
      <c r="V81" s="2">
        <f t="shared" si="4"/>
        <v>3756</v>
      </c>
      <c r="W81" s="2">
        <f t="shared" si="5"/>
        <v>6885</v>
      </c>
    </row>
    <row r="82" spans="1:23" x14ac:dyDescent="0.25">
      <c r="A82" s="3" t="s">
        <v>126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146</v>
      </c>
      <c r="I82" t="s">
        <v>30</v>
      </c>
      <c r="L82" t="s">
        <v>31</v>
      </c>
      <c r="M82" t="s">
        <v>23</v>
      </c>
      <c r="N82" t="s">
        <v>24</v>
      </c>
      <c r="O82" s="5" t="s">
        <v>140</v>
      </c>
      <c r="P82" s="5" t="s">
        <v>138</v>
      </c>
      <c r="Q82" s="11">
        <v>42</v>
      </c>
      <c r="R82">
        <v>1</v>
      </c>
      <c r="S82" s="2">
        <v>308</v>
      </c>
      <c r="T82" s="2">
        <v>565</v>
      </c>
      <c r="U82" s="2">
        <v>257</v>
      </c>
      <c r="V82" s="2">
        <f t="shared" si="4"/>
        <v>308</v>
      </c>
      <c r="W82" s="2">
        <f t="shared" si="5"/>
        <v>565</v>
      </c>
    </row>
    <row r="83" spans="1:23" x14ac:dyDescent="0.25">
      <c r="A83" s="3" t="s">
        <v>127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147</v>
      </c>
      <c r="I83" t="s">
        <v>69</v>
      </c>
      <c r="L83" t="s">
        <v>70</v>
      </c>
      <c r="M83" t="s">
        <v>23</v>
      </c>
      <c r="N83" t="s">
        <v>24</v>
      </c>
      <c r="O83" s="5" t="s">
        <v>136</v>
      </c>
      <c r="P83" s="5" t="s">
        <v>137</v>
      </c>
      <c r="Q83" s="11">
        <v>38</v>
      </c>
      <c r="R83">
        <v>1</v>
      </c>
      <c r="S83" s="2">
        <v>1252</v>
      </c>
      <c r="T83" s="2">
        <v>2295</v>
      </c>
      <c r="U83" s="2">
        <v>1043</v>
      </c>
      <c r="V83" s="2">
        <f t="shared" si="4"/>
        <v>1252</v>
      </c>
      <c r="W83" s="2">
        <f t="shared" si="5"/>
        <v>2295</v>
      </c>
    </row>
    <row r="84" spans="1:23" x14ac:dyDescent="0.25">
      <c r="A84" s="3" t="s">
        <v>128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146</v>
      </c>
      <c r="I84" t="s">
        <v>47</v>
      </c>
      <c r="L84" t="s">
        <v>48</v>
      </c>
      <c r="M84" t="s">
        <v>23</v>
      </c>
      <c r="N84" t="s">
        <v>24</v>
      </c>
      <c r="O84" s="5" t="s">
        <v>136</v>
      </c>
      <c r="P84" s="5" t="s">
        <v>137</v>
      </c>
      <c r="Q84" s="11">
        <v>46</v>
      </c>
      <c r="R84">
        <v>1</v>
      </c>
      <c r="S84" s="2">
        <v>1252</v>
      </c>
      <c r="T84" s="2">
        <v>2295</v>
      </c>
      <c r="U84" s="2">
        <v>1043</v>
      </c>
      <c r="V84" s="2">
        <f t="shared" si="4"/>
        <v>1252</v>
      </c>
      <c r="W84" s="2">
        <f t="shared" si="5"/>
        <v>2295</v>
      </c>
    </row>
    <row r="85" spans="1:23" x14ac:dyDescent="0.25">
      <c r="A85" s="3" t="s">
        <v>129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147</v>
      </c>
      <c r="I85" t="s">
        <v>40</v>
      </c>
      <c r="L85" t="s">
        <v>114</v>
      </c>
      <c r="M85" t="s">
        <v>23</v>
      </c>
      <c r="N85" t="s">
        <v>24</v>
      </c>
      <c r="O85" s="5" t="s">
        <v>136</v>
      </c>
      <c r="P85" s="5" t="s">
        <v>138</v>
      </c>
      <c r="Q85" s="11">
        <v>38</v>
      </c>
      <c r="R85">
        <v>1</v>
      </c>
      <c r="S85" s="2">
        <v>1266</v>
      </c>
      <c r="T85" s="2">
        <v>2320</v>
      </c>
      <c r="U85" s="2">
        <v>1054</v>
      </c>
      <c r="V85" s="2">
        <f t="shared" si="4"/>
        <v>1266</v>
      </c>
      <c r="W85" s="2">
        <f t="shared" si="5"/>
        <v>2320</v>
      </c>
    </row>
    <row r="86" spans="1:23" x14ac:dyDescent="0.25">
      <c r="A86" s="3" t="s">
        <v>130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146</v>
      </c>
      <c r="I86" t="s">
        <v>21</v>
      </c>
      <c r="L86" t="s">
        <v>56</v>
      </c>
      <c r="M86" t="s">
        <v>23</v>
      </c>
      <c r="N86" t="s">
        <v>24</v>
      </c>
      <c r="O86" s="5" t="s">
        <v>136</v>
      </c>
      <c r="P86" s="5" t="s">
        <v>138</v>
      </c>
      <c r="Q86" s="11">
        <v>42</v>
      </c>
      <c r="R86">
        <v>1</v>
      </c>
      <c r="S86" s="2">
        <v>1266</v>
      </c>
      <c r="T86" s="2">
        <v>2320</v>
      </c>
      <c r="U86" s="2">
        <v>1054</v>
      </c>
      <c r="V86" s="2">
        <f t="shared" si="4"/>
        <v>1266</v>
      </c>
      <c r="W86" s="2">
        <f t="shared" si="5"/>
        <v>2320</v>
      </c>
    </row>
    <row r="87" spans="1:23" x14ac:dyDescent="0.25">
      <c r="A87" s="3" t="s">
        <v>131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146</v>
      </c>
      <c r="I87" t="s">
        <v>47</v>
      </c>
      <c r="L87" t="s">
        <v>48</v>
      </c>
      <c r="M87" t="s">
        <v>23</v>
      </c>
      <c r="N87" t="s">
        <v>24</v>
      </c>
      <c r="O87" s="5" t="s">
        <v>136</v>
      </c>
      <c r="P87" s="5" t="s">
        <v>137</v>
      </c>
      <c r="Q87" s="11">
        <v>42</v>
      </c>
      <c r="R87">
        <v>1</v>
      </c>
      <c r="S87" s="2">
        <v>1252</v>
      </c>
      <c r="T87" s="2">
        <v>2295</v>
      </c>
      <c r="U87" s="2">
        <v>1043</v>
      </c>
      <c r="V87" s="2">
        <f t="shared" si="4"/>
        <v>1252</v>
      </c>
      <c r="W87" s="2">
        <f t="shared" si="5"/>
        <v>2295</v>
      </c>
    </row>
    <row r="88" spans="1:23" x14ac:dyDescent="0.25">
      <c r="A88" s="3" t="s">
        <v>132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146</v>
      </c>
      <c r="I88" t="s">
        <v>21</v>
      </c>
      <c r="L88" t="s">
        <v>22</v>
      </c>
      <c r="M88" t="s">
        <v>23</v>
      </c>
      <c r="N88" t="s">
        <v>24</v>
      </c>
      <c r="O88" s="5" t="s">
        <v>140</v>
      </c>
      <c r="P88" s="5" t="s">
        <v>137</v>
      </c>
      <c r="Q88" s="11">
        <v>42</v>
      </c>
      <c r="R88">
        <v>1</v>
      </c>
      <c r="S88" s="2">
        <v>295</v>
      </c>
      <c r="T88" s="2">
        <v>540</v>
      </c>
      <c r="U88" s="2">
        <v>245</v>
      </c>
      <c r="V88" s="2">
        <f t="shared" si="4"/>
        <v>295</v>
      </c>
      <c r="W88" s="2">
        <f t="shared" si="5"/>
        <v>540</v>
      </c>
    </row>
    <row r="89" spans="1:23" x14ac:dyDescent="0.25">
      <c r="A89" s="3" t="s">
        <v>133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147</v>
      </c>
      <c r="I89" t="s">
        <v>30</v>
      </c>
      <c r="L89" t="s">
        <v>43</v>
      </c>
      <c r="M89" t="s">
        <v>23</v>
      </c>
      <c r="N89" t="s">
        <v>24</v>
      </c>
      <c r="O89" s="5" t="s">
        <v>136</v>
      </c>
      <c r="P89" s="5" t="s">
        <v>137</v>
      </c>
      <c r="Q89" s="11">
        <v>42</v>
      </c>
      <c r="R89">
        <v>4</v>
      </c>
      <c r="S89" s="2">
        <v>1252</v>
      </c>
      <c r="T89" s="2">
        <v>2295</v>
      </c>
      <c r="U89" s="2">
        <v>4172</v>
      </c>
      <c r="V89" s="2">
        <f t="shared" si="4"/>
        <v>5008</v>
      </c>
      <c r="W89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Takeaways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Kel Alim</cp:lastModifiedBy>
  <cp:revision/>
  <dcterms:created xsi:type="dcterms:W3CDTF">2022-11-04T20:14:11Z</dcterms:created>
  <dcterms:modified xsi:type="dcterms:W3CDTF">2026-03-11T14:03:02Z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